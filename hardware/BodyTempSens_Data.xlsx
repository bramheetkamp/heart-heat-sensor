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daanheetkamp/Desktop/BodyTempSensor/"/>
    </mc:Choice>
  </mc:AlternateContent>
  <xr:revisionPtr revIDLastSave="0" documentId="13_ncr:1_{2BFC80BE-FF6D-F947-A5FA-7AEC4A821F90}" xr6:coauthVersionLast="47" xr6:coauthVersionMax="47" xr10:uidLastSave="{00000000-0000-0000-0000-000000000000}"/>
  <bookViews>
    <workbookView xWindow="0" yWindow="600" windowWidth="68800" windowHeight="28200" firstSheet="1" activeTab="5" xr2:uid="{00000000-000D-0000-FFFF-FFFF00000000}"/>
  </bookViews>
  <sheets>
    <sheet name="Parameters" sheetId="4" r:id="rId1"/>
    <sheet name="Final Parameters" sheetId="5" r:id="rId2"/>
    <sheet name="Power" sheetId="2" r:id="rId3"/>
    <sheet name="Sheet1" sheetId="10" r:id="rId4"/>
    <sheet name="Pricelist" sheetId="9" r:id="rId5"/>
    <sheet name="BOM" sheetId="11" r:id="rId6"/>
    <sheet name="Inventory" sheetId="12" r:id="rId7"/>
  </sheets>
  <definedNames>
    <definedName name="_xlnm._FilterDatabase" localSheetId="5" hidden="1">BOM!$A$1:$I$1</definedName>
    <definedName name="_xlnm._FilterDatabase" localSheetId="2" hidden="1">Power!$A$1:$C$1</definedName>
    <definedName name="_xlnm._FilterDatabase" localSheetId="4" hidden="1">Pricelist!$B$2:$I$22</definedName>
    <definedName name="BodyTempSensor" localSheetId="5">BOM!$A$1:$I$46</definedName>
    <definedName name="LCSC__WM2212110099_20260617034224" localSheetId="6">Inventory!$A$1:$M$28</definedName>
    <definedName name="LCSC__WM2407090249_20260617034145" localSheetId="6">Inventory!$A$29:$M$57</definedName>
    <definedName name="LCSC__WM2509140097_20260617034302_1" localSheetId="6">Inventory!$A$58:$M$65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0" l="1"/>
  <c r="C28" i="10"/>
  <c r="K20" i="10" s="1"/>
  <c r="K21" i="10" s="1"/>
  <c r="B28" i="10"/>
  <c r="J27" i="10"/>
  <c r="L20" i="10"/>
  <c r="L21" i="10" s="1"/>
  <c r="J20" i="10"/>
  <c r="J21" i="10" s="1"/>
  <c r="D10" i="10"/>
  <c r="L2" i="10" s="1"/>
  <c r="L3" i="10" s="1"/>
  <c r="C10" i="10"/>
  <c r="K2" i="10" s="1"/>
  <c r="K3" i="10" s="1"/>
  <c r="B10" i="10"/>
  <c r="J2" i="10" s="1"/>
  <c r="J3" i="10" s="1"/>
  <c r="J9" i="10"/>
  <c r="G22" i="9"/>
  <c r="G21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AQ22" i="2" l="1"/>
  <c r="AT22" i="2" s="1"/>
  <c r="AU22" i="2" s="1"/>
  <c r="AQ16" i="2"/>
  <c r="AT16" i="2" s="1"/>
  <c r="AU16" i="2" s="1"/>
  <c r="AF32" i="2"/>
  <c r="AG16" i="2"/>
  <c r="AK11" i="2"/>
  <c r="AK7" i="2"/>
  <c r="AA8" i="2"/>
  <c r="AB8" i="2"/>
  <c r="AB14" i="2"/>
  <c r="AA14" i="2"/>
  <c r="AC13" i="2"/>
  <c r="AC12" i="2"/>
  <c r="AC11" i="2"/>
  <c r="AC10" i="2"/>
  <c r="AC7" i="2"/>
  <c r="AC6" i="2"/>
  <c r="AC4" i="2"/>
  <c r="AC3" i="2"/>
  <c r="P8" i="2"/>
  <c r="Q8" i="2"/>
  <c r="AG22" i="2"/>
  <c r="AJ22" i="2" s="1"/>
  <c r="AK22" i="2" s="1"/>
  <c r="AJ16" i="2"/>
  <c r="AK16" i="2" s="1"/>
  <c r="AN5" i="2" l="1"/>
  <c r="P14" i="2"/>
  <c r="Q14" i="2"/>
  <c r="R3" i="2"/>
  <c r="R4" i="2"/>
  <c r="R6" i="2"/>
  <c r="R7" i="2"/>
  <c r="R10" i="2"/>
  <c r="R11" i="2"/>
  <c r="R13" i="2"/>
  <c r="R12" i="2"/>
  <c r="G17" i="2"/>
  <c r="G10" i="2"/>
  <c r="J12" i="2"/>
  <c r="J11" i="2"/>
  <c r="J13" i="2" l="1"/>
  <c r="J1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A707CE-F671-9544-9F5A-C67EA3FCE0BA}" name="BodyTempSensor" type="6" refreshedVersion="8" background="1" saveData="1">
    <textPr sourceFile="/Users/daanheetkamp/Desktop/BodyTempSensor/KiCad/BodyTempSensor.csv" decimal="," thousands="." tab="0" comma="1">
      <textFields count="9">
        <textField type="text"/>
        <textField/>
        <textField/>
        <textField/>
        <textField/>
        <textField/>
        <textField/>
        <textField/>
        <textField/>
      </textFields>
    </textPr>
  </connection>
  <connection id="2" xr16:uid="{064221ED-C2F8-264B-A3E6-52F9ED93626E}" name="LCSC__WM2212110099_20260617034224" type="6" refreshedVersion="8" background="1" saveData="1">
    <textPr fileType="mac" sourceFile="/Users/daanheetkamp/Downloads/LCSC__WM2212110099_20260617034224.csv" decimal="," thousands=".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31195BEF-B649-334C-9645-97AC65444AD5}" name="LCSC__WM2407090249_20260617034145" type="6" refreshedVersion="8" background="1" saveData="1">
    <textPr sourceFile="/Users/daanheetkamp/Downloads/LCSC__WM2407090249_20260617034145.csv" decimal="," thousands=".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735BE0DB-D0BD-0E4E-BD5E-880E24239B29}" name="LCSC__WM2509140097_20260617034302" type="6" refreshedVersion="8" background="1" saveData="1">
    <textPr sourceFile="/Users/daanheetkamp/Downloads/LCSC__WM2509140097_20260617034302.csv" decimal="," thousands=".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<sst xmlns="http://schemas.openxmlformats.org/spreadsheetml/2006/main" count="1662" uniqueCount="866">
  <si>
    <t>ESP32-C6-MINI-1-N4</t>
  </si>
  <si>
    <t>C5736265</t>
  </si>
  <si>
    <t>SMD-53P</t>
  </si>
  <si>
    <t>SMD</t>
  </si>
  <si>
    <t>YAGEO</t>
  </si>
  <si>
    <t>Espressif Systems</t>
  </si>
  <si>
    <t>RC0603FR-0710KL</t>
  </si>
  <si>
    <t>C98220</t>
  </si>
  <si>
    <t>10kΩ 0603 75V ±100ppm</t>
  </si>
  <si>
    <t>0603</t>
  </si>
  <si>
    <t>RC0603FR-07470RL</t>
  </si>
  <si>
    <t>C114669</t>
  </si>
  <si>
    <t>470Ω 0603 75V ±100ppm</t>
  </si>
  <si>
    <t>Value</t>
  </si>
  <si>
    <t>CC0603KRX7R9BB104</t>
  </si>
  <si>
    <t>50V 100nF X7R ±10% 0603</t>
  </si>
  <si>
    <t>C14663</t>
  </si>
  <si>
    <t>CC0603KRX5R8BB105</t>
  </si>
  <si>
    <t>25V 1uF X5R ±10% 0603</t>
  </si>
  <si>
    <t>C14664</t>
  </si>
  <si>
    <t>XUNPU</t>
  </si>
  <si>
    <t>SOT-23-6</t>
  </si>
  <si>
    <t>C7519</t>
  </si>
  <si>
    <t>USBLC6-2SC6</t>
  </si>
  <si>
    <t>STMicroelectronics</t>
  </si>
  <si>
    <t>RC0603FR-075K1L</t>
  </si>
  <si>
    <t>C105580</t>
  </si>
  <si>
    <t>5k1Ω 0603 75V ±100ppm</t>
  </si>
  <si>
    <t>TLV62569DBVR</t>
  </si>
  <si>
    <t>C141836</t>
  </si>
  <si>
    <t>SOT-23-5</t>
  </si>
  <si>
    <t>Texas Instruments</t>
  </si>
  <si>
    <t>Step-down type Adjustable 600mV~5.5V 2A 2.5V~5.5V</t>
  </si>
  <si>
    <t>5V</t>
  </si>
  <si>
    <t>C326580</t>
  </si>
  <si>
    <t>CC0603KRX5R8BB475</t>
  </si>
  <si>
    <t>25V 4.7uF X5R ±10% 0603</t>
  </si>
  <si>
    <t>Part</t>
  </si>
  <si>
    <t>VBUS</t>
  </si>
  <si>
    <t>-</t>
  </si>
  <si>
    <t xml:space="preserve">HLK-LD2410C </t>
  </si>
  <si>
    <t>HLK-LD2411</t>
  </si>
  <si>
    <t>HLK-LD2450</t>
  </si>
  <si>
    <t>HLK-LD2420</t>
  </si>
  <si>
    <t>ME73MS01</t>
  </si>
  <si>
    <t>MS72SF1</t>
  </si>
  <si>
    <t>DFRobot SEN0395</t>
  </si>
  <si>
    <t>Current (A)</t>
  </si>
  <si>
    <t>Voltage Rail (V)</t>
  </si>
  <si>
    <t>WS2812C-2020-V1</t>
  </si>
  <si>
    <t>XL-1608SURC-06</t>
  </si>
  <si>
    <t>C965799</t>
  </si>
  <si>
    <t>20mA 620nm~630nm Red 120° 50mW 2.3V 0603 LED</t>
  </si>
  <si>
    <t>XINGLIGHT</t>
  </si>
  <si>
    <t>SS24</t>
  </si>
  <si>
    <t>40V  550mV@2A Schottky Diode</t>
  </si>
  <si>
    <t>C50645</t>
  </si>
  <si>
    <t>SMA(DO-214AC)</t>
  </si>
  <si>
    <t>Microdiode Semiconductor</t>
  </si>
  <si>
    <t>25V 10uF X5R ±10% 0603 </t>
  </si>
  <si>
    <t>C7500379</t>
  </si>
  <si>
    <t>CC0603KRX5R8BB106</t>
  </si>
  <si>
    <t>LQM2HPN2R2MG0L</t>
  </si>
  <si>
    <t>C86092</t>
  </si>
  <si>
    <t>1008</t>
  </si>
  <si>
    <t>Murata Electronics</t>
  </si>
  <si>
    <t>1.3A 2.2uH ±20%</t>
  </si>
  <si>
    <t>RC0603FR-07100KL</t>
  </si>
  <si>
    <t>100kΩ 0603 75V ±100ppm</t>
  </si>
  <si>
    <t>C14675</t>
  </si>
  <si>
    <t>UNI-ROYAL(Uniroyal Elec)</t>
  </si>
  <si>
    <t>L</t>
  </si>
  <si>
    <t>XKB Connection</t>
  </si>
  <si>
    <t>C2835313</t>
  </si>
  <si>
    <t>TYPEC-302-BRP16SC16</t>
  </si>
  <si>
    <t>OUT</t>
  </si>
  <si>
    <t>1u</t>
  </si>
  <si>
    <t>100n</t>
  </si>
  <si>
    <t>10u</t>
  </si>
  <si>
    <t>4u7</t>
  </si>
  <si>
    <t>RED</t>
  </si>
  <si>
    <t>XL-1010RGBC-WS2812B</t>
  </si>
  <si>
    <t>5k1</t>
  </si>
  <si>
    <t>100k</t>
  </si>
  <si>
    <t>10k</t>
  </si>
  <si>
    <t>TS-1101-C-W</t>
  </si>
  <si>
    <t>50V</t>
  </si>
  <si>
    <t>25V</t>
  </si>
  <si>
    <t>40V</t>
  </si>
  <si>
    <t>2u2</t>
  </si>
  <si>
    <t>C318938</t>
  </si>
  <si>
    <t>50mA 6mm 50,000 Times 260gf 12V 3.6mm 2.5mm</t>
  </si>
  <si>
    <t>5A USB Sinking plate 16P Female Type-C</t>
  </si>
  <si>
    <t>5A 17V 6V Unidirectional 5.25V SOT-23-6 ESD and Surge Protection</t>
  </si>
  <si>
    <t>17/6V 5A</t>
  </si>
  <si>
    <t>40V 2A</t>
  </si>
  <si>
    <t>Specifications</t>
  </si>
  <si>
    <t>LCSC PART #</t>
  </si>
  <si>
    <t>Manufacturer_Name</t>
  </si>
  <si>
    <t>SAMTEC</t>
  </si>
  <si>
    <t>Component_Package</t>
  </si>
  <si>
    <t>0,5mm</t>
  </si>
  <si>
    <t>Component_Value</t>
  </si>
  <si>
    <t>Component_Voltage</t>
  </si>
  <si>
    <t>Component_Tolerance</t>
  </si>
  <si>
    <t>5A</t>
  </si>
  <si>
    <t>20mA</t>
  </si>
  <si>
    <t>50mA</t>
  </si>
  <si>
    <t>5,25V</t>
  </si>
  <si>
    <t>75V</t>
  </si>
  <si>
    <t>10%</t>
  </si>
  <si>
    <t>100ppm</t>
  </si>
  <si>
    <t>Component_Current</t>
  </si>
  <si>
    <t>12V</t>
  </si>
  <si>
    <t>2,3V</t>
  </si>
  <si>
    <t>BTN</t>
  </si>
  <si>
    <t>20%</t>
  </si>
  <si>
    <t>1,3A</t>
  </si>
  <si>
    <t>Component_Type</t>
  </si>
  <si>
    <t>X5R</t>
  </si>
  <si>
    <t>X7R</t>
  </si>
  <si>
    <t>C5349953</t>
  </si>
  <si>
    <t>SMD,1x1mm</t>
  </si>
  <si>
    <t>SMD,1x1mm  RGB LEDs(Built-in IC) ROHS</t>
  </si>
  <si>
    <t>3V3</t>
  </si>
  <si>
    <t>Fsw</t>
  </si>
  <si>
    <t>Vin</t>
  </si>
  <si>
    <t>Vout</t>
  </si>
  <si>
    <t>IL(max)</t>
  </si>
  <si>
    <t xml:space="preserve">IL = </t>
  </si>
  <si>
    <t>Top</t>
  </si>
  <si>
    <t>Bottom</t>
  </si>
  <si>
    <t>IL(max) Formula</t>
  </si>
  <si>
    <t>Iout(max) Formula</t>
  </si>
  <si>
    <t>R2 calculation</t>
  </si>
  <si>
    <t>Vfb</t>
  </si>
  <si>
    <t>R2</t>
  </si>
  <si>
    <t xml:space="preserve">R1 = </t>
  </si>
  <si>
    <t>Vout calculation]</t>
  </si>
  <si>
    <t>Chosen R1:</t>
  </si>
  <si>
    <t xml:space="preserve">Vout = </t>
  </si>
  <si>
    <t>453k</t>
  </si>
  <si>
    <t>453kΩ 0603 75V ±100ppm  ±1%</t>
  </si>
  <si>
    <t>C3013202</t>
  </si>
  <si>
    <t xml:space="preserve"> ±1%</t>
  </si>
  <si>
    <t>Rail Name</t>
  </si>
  <si>
    <t>Voltage (V)</t>
  </si>
  <si>
    <t>Load Typ</t>
  </si>
  <si>
    <t>Load Max</t>
  </si>
  <si>
    <t>+5V</t>
  </si>
  <si>
    <t>+3V3</t>
  </si>
  <si>
    <t>3.3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</si>
  <si>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</si>
  <si>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</si>
  <si>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</si>
  <si>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</si>
  <si>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</si>
  <si>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</si>
  <si>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</si>
  <si>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</si>
  <si>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</si>
  <si>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</si>
  <si>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</si>
  <si>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</si>
  <si>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</si>
  <si>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</si>
  <si>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IC1</t>
  </si>
  <si>
    <t>IC2A</t>
  </si>
  <si>
    <t>IC2B</t>
  </si>
  <si>
    <t>J1</t>
  </si>
  <si>
    <t>J2</t>
  </si>
  <si>
    <t>JP1</t>
  </si>
  <si>
    <t>JP2</t>
  </si>
  <si>
    <t>JP3</t>
  </si>
  <si>
    <t>L1</t>
  </si>
  <si>
    <t>LED1</t>
  </si>
  <si>
    <t>LED2</t>
  </si>
  <si>
    <t>R1</t>
  </si>
  <si>
    <t>R3</t>
  </si>
  <si>
    <t>R4</t>
  </si>
  <si>
    <t>R5</t>
  </si>
  <si>
    <t>R6</t>
  </si>
  <si>
    <t>R7</t>
  </si>
  <si>
    <t>R8</t>
  </si>
  <si>
    <t>S1</t>
  </si>
  <si>
    <t>S2</t>
  </si>
  <si>
    <t>TP1</t>
  </si>
  <si>
    <t>TP2</t>
  </si>
  <si>
    <t>TP3</t>
  </si>
  <si>
    <t>TP4</t>
  </si>
  <si>
    <t>TP5</t>
  </si>
  <si>
    <t>Identifier</t>
  </si>
  <si>
    <t>25V 10uF X5R ±10% 0603</t>
  </si>
  <si>
    <t>550mV</t>
  </si>
  <si>
    <t>2A</t>
  </si>
  <si>
    <t>DO-214AC</t>
  </si>
  <si>
    <t>SMD-53P  WiFi Modules ROHS</t>
  </si>
  <si>
    <t>SQW-104-01-F-D-VS-P</t>
  </si>
  <si>
    <t>±1%</t>
  </si>
  <si>
    <t xml:space="preserve">453kΩ 0603 75V ±100ppm  ±1%  </t>
  </si>
  <si>
    <t xml:space="preserve">FRC0603F4533TS  </t>
  </si>
  <si>
    <t>Vbus to 3v3</t>
  </si>
  <si>
    <t>Power Rail:</t>
  </si>
  <si>
    <t>Component name:</t>
  </si>
  <si>
    <t>Ityp</t>
  </si>
  <si>
    <t>Imax</t>
  </si>
  <si>
    <t>Pmax</t>
  </si>
  <si>
    <t>3,3</t>
  </si>
  <si>
    <t>5</t>
  </si>
  <si>
    <t>640mA</t>
  </si>
  <si>
    <t>860mA</t>
  </si>
  <si>
    <t>TYPICAL LOAD</t>
  </si>
  <si>
    <t>IN</t>
  </si>
  <si>
    <t>Converter
(VOUT)</t>
  </si>
  <si>
    <t>Converter 
(IOUT)</t>
  </si>
  <si>
    <t>Converter 
(POUT)</t>
  </si>
  <si>
    <t>Efficiency
(Datasheet)</t>
  </si>
  <si>
    <t>Converter
(VIN)</t>
  </si>
  <si>
    <t>Converter 
(PIN)</t>
  </si>
  <si>
    <t>Converter 
(I_IN Line)</t>
  </si>
  <si>
    <t>MAX LOAD</t>
  </si>
  <si>
    <t>1,18A</t>
  </si>
  <si>
    <t>Wrong Calculations</t>
  </si>
  <si>
    <t>Correct Calculations</t>
  </si>
  <si>
    <t>670mA</t>
  </si>
  <si>
    <t>920A</t>
  </si>
  <si>
    <t>Start Values</t>
  </si>
  <si>
    <t>Name</t>
  </si>
  <si>
    <r>
      <t>V</t>
    </r>
    <r>
      <rPr>
        <b/>
        <vertAlign val="subscript"/>
        <sz val="10"/>
        <color rgb="FF000000"/>
        <rFont val="Arial"/>
        <family val="2"/>
      </rPr>
      <t>in</t>
    </r>
  </si>
  <si>
    <r>
      <t>V</t>
    </r>
    <r>
      <rPr>
        <b/>
        <vertAlign val="subscript"/>
        <sz val="10"/>
        <color rgb="FF000000"/>
        <rFont val="Arial"/>
        <family val="2"/>
      </rPr>
      <t>out</t>
    </r>
  </si>
  <si>
    <r>
      <t>I</t>
    </r>
    <r>
      <rPr>
        <b/>
        <vertAlign val="subscript"/>
        <sz val="10"/>
        <color rgb="FF000000"/>
        <rFont val="Arial"/>
        <family val="2"/>
      </rPr>
      <t>out</t>
    </r>
  </si>
  <si>
    <t>Efficiency</t>
  </si>
  <si>
    <t>Pin</t>
  </si>
  <si>
    <t xml:space="preserve">Iin </t>
  </si>
  <si>
    <t>90%</t>
  </si>
  <si>
    <t>LED</t>
  </si>
  <si>
    <t>Notes</t>
  </si>
  <si>
    <t>Description</t>
  </si>
  <si>
    <t>Total:</t>
  </si>
  <si>
    <t>Line #</t>
  </si>
  <si>
    <t>Qty</t>
  </si>
  <si>
    <t>Package</t>
  </si>
  <si>
    <t>MPN</t>
  </si>
  <si>
    <t>Manufacturer</t>
  </si>
  <si>
    <t>CC0402KRX5R6BB104</t>
  </si>
  <si>
    <t>CC0402KRX5R8BB105</t>
  </si>
  <si>
    <t>USB4105-GF-A</t>
  </si>
  <si>
    <t>52271-0479</t>
  </si>
  <si>
    <t>L2</t>
  </si>
  <si>
    <t>RC0402FR-0710KL</t>
  </si>
  <si>
    <t>EVQP2B02B</t>
  </si>
  <si>
    <t>nRF52840 BLE SoC</t>
  </si>
  <si>
    <t>NRF52840-QIAA-R</t>
  </si>
  <si>
    <t>Nordic Semiconductor</t>
  </si>
  <si>
    <t>U2</t>
  </si>
  <si>
    <t>TMP117MAIDRVR</t>
  </si>
  <si>
    <t>U3</t>
  </si>
  <si>
    <t>MCP73833-AMI/UN</t>
  </si>
  <si>
    <t>Microchip</t>
  </si>
  <si>
    <t>U4</t>
  </si>
  <si>
    <t>Buck converter 1A</t>
  </si>
  <si>
    <t>TLV62568DBVR</t>
  </si>
  <si>
    <t>U5</t>
  </si>
  <si>
    <t>Op-amp single</t>
  </si>
  <si>
    <t>MCP6001T-I/OT</t>
  </si>
  <si>
    <t>X322525MOB4SI</t>
  </si>
  <si>
    <t>YXC</t>
  </si>
  <si>
    <t>RGB LED addressable</t>
  </si>
  <si>
    <t>Worldsemi</t>
  </si>
  <si>
    <t>Body Temperature Sensor — Pricelist (LCSC)</t>
  </si>
  <si>
    <t>Source: lcsc.com — prices as of Jun 2026, unit price at qty 1. Source URLs in cell comments.</t>
  </si>
  <si>
    <t>LCSC Part #</t>
  </si>
  <si>
    <t>Unit Price (USD)</t>
  </si>
  <si>
    <t>Extended Price (USD)</t>
  </si>
  <si>
    <t>In Stock?</t>
  </si>
  <si>
    <t>100nF 0402 MLCC</t>
  </si>
  <si>
    <t>C129131</t>
  </si>
  <si>
    <t>Yes</t>
  </si>
  <si>
    <t>YAGEO, 10V X5R</t>
  </si>
  <si>
    <t>1µF 0402 MLCC</t>
  </si>
  <si>
    <t>C326568</t>
  </si>
  <si>
    <t>YAGEO, 25V X5R</t>
  </si>
  <si>
    <t>ESD protection</t>
  </si>
  <si>
    <t>ST, SOT-23-6, 45,720 pcs</t>
  </si>
  <si>
    <t>USB-C receptacle</t>
  </si>
  <si>
    <t>C3020560</t>
  </si>
  <si>
    <t>GCT, 16P top-mount</t>
  </si>
  <si>
    <t>1mm FPC 4-ckt connector</t>
  </si>
  <si>
    <t>N/A</t>
  </si>
  <si>
    <t>No (LCSC)</t>
  </si>
  <si>
    <t>⚠ Not at LCSC — order from Mouser/Digi-Key</t>
  </si>
  <si>
    <t>SMNR4020-2.2UH</t>
  </si>
  <si>
    <t>2.2µH 4020 inductor (alt)</t>
  </si>
  <si>
    <t>C135262</t>
  </si>
  <si>
    <t>Alt for Würth 74404020022 (same 4020 pkg, 2.2µH)</t>
  </si>
  <si>
    <t>10kΩ 0402 resistor</t>
  </si>
  <si>
    <t>C60490</t>
  </si>
  <si>
    <t>YAGEO 1%, 709,100 pcs</t>
  </si>
  <si>
    <t>Tactile switch</t>
  </si>
  <si>
    <t>C713480</t>
  </si>
  <si>
    <t>Panasonic EVQP2, 1,317 pcs</t>
  </si>
  <si>
    <t>C190794</t>
  </si>
  <si>
    <t>Nordic, AQFN-73</t>
  </si>
  <si>
    <t>Precision temp sensor</t>
  </si>
  <si>
    <t>C2803242</t>
  </si>
  <si>
    <t>TI, 2,450 pcs; T-suffix OOS → use R-suffix</t>
  </si>
  <si>
    <t>Li-Ion charger</t>
  </si>
  <si>
    <t>C511281</t>
  </si>
  <si>
    <t>⚠ OOS at LCSC — order from Mouser/Digi-Key (~$0.60)</t>
  </si>
  <si>
    <t>C163219</t>
  </si>
  <si>
    <t>TI, SOT-23-5</t>
  </si>
  <si>
    <t>C116490</t>
  </si>
  <si>
    <t>Microchip, 23,160 pcs</t>
  </si>
  <si>
    <t>Crystal 32MHz 3225</t>
  </si>
  <si>
    <t>C9006</t>
  </si>
  <si>
    <t>YXC, SMD-3225 4P</t>
  </si>
  <si>
    <t>C2976072</t>
  </si>
  <si>
    <t>Worldsemi, 204,310 pcs</t>
  </si>
  <si>
    <t>TOTAL (LCSC-sourced lines only)</t>
  </si>
  <si>
    <t>TOTAL (all lines, unit qty)</t>
  </si>
  <si>
    <t>Name:</t>
  </si>
  <si>
    <t>Typ:</t>
  </si>
  <si>
    <t>Max:</t>
  </si>
  <si>
    <t>Standby:</t>
  </si>
  <si>
    <t>Battery capacity:</t>
  </si>
  <si>
    <t>USB-C</t>
  </si>
  <si>
    <t>Hours:</t>
  </si>
  <si>
    <t>MCP73833</t>
  </si>
  <si>
    <t>Days:</t>
  </si>
  <si>
    <t>NRF52840-QIAA-F-R7</t>
  </si>
  <si>
    <t>MCP6001-OT</t>
  </si>
  <si>
    <t>Active: 8.23 mA × 1h = 8.23 mAh</t>
  </si>
  <si>
    <t>Standby: 0.159 mA × 23h = 3.66 mAh</t>
  </si>
  <si>
    <t>MAX30208CLB+T</t>
  </si>
  <si>
    <t>Total per day: ~12 mAh</t>
  </si>
  <si>
    <t>Battery: 3.7V 500mAh</t>
  </si>
  <si>
    <t>Reference</t>
  </si>
  <si>
    <t>Footprint</t>
  </si>
  <si>
    <t>Datasheet</t>
  </si>
  <si>
    <t>Manufacturer_Part_Number</t>
  </si>
  <si>
    <t>ACT1</t>
  </si>
  <si>
    <t>SW_ACT</t>
  </si>
  <si>
    <t>PCB_Lib_ItsNotDaan:SW_SPST_EVQP2</t>
  </si>
  <si>
    <t>C512395</t>
  </si>
  <si>
    <t xml:space="preserve">PANASONIC </t>
  </si>
  <si>
    <t>EVQP2P02W</t>
  </si>
  <si>
    <t>20mA 4.7mm 100MŒ© 1,000,000 Times 1N 15V 3.5mm 2.5mm Rectangle button</t>
  </si>
  <si>
    <t>ANT1</t>
  </si>
  <si>
    <t>KH-3216-H0209</t>
  </si>
  <si>
    <t>PCB_Lib_ItsNotDaan:ANTC3216X140N</t>
  </si>
  <si>
    <t>https://www.johansontechnology.com/datasheets/2450AT18B100/2450AT18B100.pdf</t>
  </si>
  <si>
    <t>C2925417</t>
  </si>
  <si>
    <t>Shenzhen Kinghelm Elec</t>
  </si>
  <si>
    <t>1206 Antennas</t>
  </si>
  <si>
    <t>Capacitor_SMD:C_0402_1005Metric_Pad0.74x0.62mm_HandSolder</t>
  </si>
  <si>
    <t>C113791</t>
  </si>
  <si>
    <t>KDS Daishinku</t>
  </si>
  <si>
    <t>CC0402MRX5R6BB105</t>
  </si>
  <si>
    <t>10V 1uF X5R ¬±20% 0403</t>
  </si>
  <si>
    <t>Capacitor_SMD:C_0504_1310Metric_Pad0.83x1.28mm_HandSolder</t>
  </si>
  <si>
    <t>C3,C5,C7,C10,C12,C14,C22,C23,C24,C25,C26</t>
  </si>
  <si>
    <t>C361203</t>
  </si>
  <si>
    <t>C1005X5R1E104KT000E</t>
  </si>
  <si>
    <t>25V 100nF X5R ¬±10% 0402</t>
  </si>
  <si>
    <t>1p5</t>
  </si>
  <si>
    <t>50V 1.5pF 0402</t>
  </si>
  <si>
    <t>C6,C9</t>
  </si>
  <si>
    <t>12p</t>
  </si>
  <si>
    <t>2p</t>
  </si>
  <si>
    <t>C11,C17</t>
  </si>
  <si>
    <t>C82453</t>
  </si>
  <si>
    <t>GRM155R60J475ME47D</t>
  </si>
  <si>
    <t>6.3V 4.7uF X5R ¬±20% 0402</t>
  </si>
  <si>
    <t>C18</t>
  </si>
  <si>
    <t>390n</t>
  </si>
  <si>
    <t>C19</t>
  </si>
  <si>
    <t>C2992625</t>
  </si>
  <si>
    <t>FH (Guangdong Fenghua Advanced Tech)</t>
  </si>
  <si>
    <t>0402X106M100CT</t>
  </si>
  <si>
    <t>10V 10uF X5R ¬±20% 0402</t>
  </si>
  <si>
    <t>C27</t>
  </si>
  <si>
    <t>10n</t>
  </si>
  <si>
    <t>C28,C30</t>
  </si>
  <si>
    <t>C29</t>
  </si>
  <si>
    <t>2n2</t>
  </si>
  <si>
    <t>D1,D2,D3</t>
  </si>
  <si>
    <t>IC3</t>
  </si>
  <si>
    <t>LibLoader:SON65P200X200X80-7N</t>
  </si>
  <si>
    <t>http://www.ti.com/lit/ds/symlink/tmp117.pdf</t>
  </si>
  <si>
    <t>TMP117MAIDRVT</t>
  </si>
  <si>
    <t>IC4,IC5,IC6</t>
  </si>
  <si>
    <t>IC7</t>
  </si>
  <si>
    <t>NRF54L15-QFAA-R</t>
  </si>
  <si>
    <t>LibLoader:QFN40P600X600X95-49N</t>
  </si>
  <si>
    <t>https://docs-be.nordicsemi.com/bundle/ps_nrf54L15/page/pdf/nRF54L15_nRF54L10_nRF54L05_Datasheet_v0.8.pdf</t>
  </si>
  <si>
    <t>USB_C_Receptacle_USB2.0</t>
  </si>
  <si>
    <t>Connector_USB:USB_C_Receptacle_GCT_USB4105-xx-A_16P_TopMnt_Horizontal</t>
  </si>
  <si>
    <t>TC2030</t>
  </si>
  <si>
    <t>Connector:Tag-Connect_TC2030-IDC-NL_2x03_P1.27mm_Vertical</t>
  </si>
  <si>
    <t>https://www.tag-connect.com/wp-content/uploads/bsk-pdf-manager/2019/12/TC2030-IDC-NL-Datasheet-Rev-B.pdf</t>
  </si>
  <si>
    <t>Tag-Connect‚Äôs 6-pins connector</t>
  </si>
  <si>
    <t>J3</t>
  </si>
  <si>
    <t>BAT</t>
  </si>
  <si>
    <t>Connector_PinSocket_2.54mm:PinSocket_1x02_P2.54mm_Vertical</t>
  </si>
  <si>
    <t>Generic connector, single row, 01x02, script generated (kicad-library-utils/schlib/autogen/connector/)</t>
  </si>
  <si>
    <t>J6</t>
  </si>
  <si>
    <t>Conn_02x05_Odd_Even</t>
  </si>
  <si>
    <t>Connector_PinHeader_1.27mm:PinHeader_2x05_P1.27mm_Vertical</t>
  </si>
  <si>
    <t>Generic connector, double row, 02x05, odd/even pin numbering scheme (row 1 odd numbers, row 2 even numbers), script generated (kicad-library-utils/schlib/autogen/connector/)</t>
  </si>
  <si>
    <t>L1,L4</t>
  </si>
  <si>
    <t>3.5nH</t>
  </si>
  <si>
    <t>Inductor_SMD:L_0201_0603Metric</t>
  </si>
  <si>
    <t>Inductor_SMD_Wurth:L_Wurth_WE-LQSH-4020</t>
  </si>
  <si>
    <t>SXN(Shun Xiang Nuo Elec)</t>
  </si>
  <si>
    <t>3.4A 2.2uH ¬±20% 3.4A SMD,4x4x2mm Power Inductors ROHS</t>
  </si>
  <si>
    <t>L3</t>
  </si>
  <si>
    <t>2.7nH</t>
  </si>
  <si>
    <t>L5</t>
  </si>
  <si>
    <t>PCB_Lib_ItsNotDaan:WS2812C2020</t>
  </si>
  <si>
    <t>http://www.world-semi.com/DownLoadFile/139</t>
  </si>
  <si>
    <t>WS2812C-2020</t>
  </si>
  <si>
    <t>Intelligent control LED integrated light source</t>
  </si>
  <si>
    <t>Q1,Q2</t>
  </si>
  <si>
    <t>NMOS</t>
  </si>
  <si>
    <t>https://ngspice.sourceforge.io/docs/ngspice-html-manual/manual.xhtml#cha_MOSFETs</t>
  </si>
  <si>
    <t>R1,R2,R26,R27</t>
  </si>
  <si>
    <t>Resistor_SMD:R_0402_1005Metric_Pad0.72x0.64mm_HandSolder</t>
  </si>
  <si>
    <t>R3,R12</t>
  </si>
  <si>
    <t>22R</t>
  </si>
  <si>
    <t>C413049</t>
  </si>
  <si>
    <t>ERJ2RKF22R0X</t>
  </si>
  <si>
    <t>22Œ© 0402 50V 100mW ¬±100ppm</t>
  </si>
  <si>
    <t>R4,R5,R6</t>
  </si>
  <si>
    <t>R8,R10,R20,R25</t>
  </si>
  <si>
    <t>C163810</t>
  </si>
  <si>
    <t>Walsin Tech Corp</t>
  </si>
  <si>
    <t>WR04X1002FTL</t>
  </si>
  <si>
    <t>10kŒ© 0402 50V 62,5mW ¬±100ppm</t>
  </si>
  <si>
    <t>R9</t>
  </si>
  <si>
    <t>1k</t>
  </si>
  <si>
    <t>R11</t>
  </si>
  <si>
    <t>68k</t>
  </si>
  <si>
    <t>R13,R14,R19</t>
  </si>
  <si>
    <t>C705662</t>
  </si>
  <si>
    <t>RT0402CRE07100KL</t>
  </si>
  <si>
    <t>100kŒ© 0402 50V ¬±50ppm</t>
  </si>
  <si>
    <t>R17</t>
  </si>
  <si>
    <t>82k</t>
  </si>
  <si>
    <t>R18</t>
  </si>
  <si>
    <t>450k</t>
  </si>
  <si>
    <t>C5159688</t>
  </si>
  <si>
    <t>FOJAN</t>
  </si>
  <si>
    <t>FRC0402F4503TS</t>
  </si>
  <si>
    <t>450kŒ© 0402 50V 62,5mW ¬±100ppm</t>
  </si>
  <si>
    <t>R21,R23,R28</t>
  </si>
  <si>
    <t>180k</t>
  </si>
  <si>
    <t>R22</t>
  </si>
  <si>
    <t>47k</t>
  </si>
  <si>
    <t>TP1,TP2,TP3,TP4</t>
  </si>
  <si>
    <t>TestPoint</t>
  </si>
  <si>
    <t>TestPoint:TestPoint_Pad_D1.0mm</t>
  </si>
  <si>
    <t>test point</t>
  </si>
  <si>
    <t>Package_TO_SOT_SMD:SOT-23-6</t>
  </si>
  <si>
    <t>https://www.st.com/resource/en/datasheet/usblc6-2.pdf</t>
  </si>
  <si>
    <t>Very low capacitance ESD protection diode, 2 data-line, SOT-23-6</t>
  </si>
  <si>
    <t>MCP73833-xxx-UN</t>
  </si>
  <si>
    <t>Package_SO:MSOP-10_3x3mm_P0.5mm</t>
  </si>
  <si>
    <t>https://ww1.microchip.com/downloads/aemDocuments/documents/OTH/ProductDocuments/DataSheets/22005b.pdf</t>
  </si>
  <si>
    <t>Stand-Alone Linear Li-Ion / Li-Polymer Charge Management Controller, MSOP-10</t>
  </si>
  <si>
    <t>Package_TO_SOT_SMD:SOT-23-5</t>
  </si>
  <si>
    <t>http://www.ti.com/lit/ds/symlink/tlv62568.pdf</t>
  </si>
  <si>
    <t>5.5V 1A SOT-23-5 DC-DC Converters RoHS</t>
  </si>
  <si>
    <t>https://ww1.microchip.com/downloads/en/DeviceDoc/MCP6001-1R-1U-2-4-1-MHz-Low-Power-Op-Amp-DS20001733L.pdf</t>
  </si>
  <si>
    <t>Y1</t>
  </si>
  <si>
    <t>32MHz</t>
  </si>
  <si>
    <t>Crystal:Crystal_SMD_3225-4Pin_3.2x2.5mm</t>
  </si>
  <si>
    <t>LCSC Part Number</t>
  </si>
  <si>
    <t>Manufacture Part Number</t>
  </si>
  <si>
    <t>Customer NO.</t>
  </si>
  <si>
    <t>RoHS</t>
  </si>
  <si>
    <t>Quantity</t>
  </si>
  <si>
    <t>Unit Price($)</t>
  </si>
  <si>
    <t>Ext.Price($)</t>
  </si>
  <si>
    <t>Estimated lead time (business days)</t>
  </si>
  <si>
    <t>Updated lead time</t>
  </si>
  <si>
    <t>Date Code / Lot No.</t>
  </si>
  <si>
    <t>C881688</t>
  </si>
  <si>
    <t>A2547WRB-2X3P</t>
  </si>
  <si>
    <t>CJT(Changjiang Connectors)</t>
  </si>
  <si>
    <t>Through Hole,Right Angle,P=2.54mm</t>
  </si>
  <si>
    <t>Connector Header 6 position 2.54mm Pitch 3A Right Angle -40‚ÑÉ~+105‚ÑÉ</t>
  </si>
  <si>
    <t>YES</t>
  </si>
  <si>
    <t>0.5219</t>
  </si>
  <si>
    <t>2.61</t>
  </si>
  <si>
    <t>C2907295</t>
  </si>
  <si>
    <t>FRC0805J102 TS</t>
  </si>
  <si>
    <t>1kŒ© ¬±5% 125mW 0805 Thick Film Resistor</t>
  </si>
  <si>
    <t>0.0013</t>
  </si>
  <si>
    <t>0.13</t>
  </si>
  <si>
    <t>C103210</t>
  </si>
  <si>
    <t>RTT03103JTP</t>
  </si>
  <si>
    <t>RALEC</t>
  </si>
  <si>
    <t>10kŒ© ¬±5% 100mW 0603 Thick Film Resistor</t>
  </si>
  <si>
    <t>0.0009</t>
  </si>
  <si>
    <t>0.09</t>
  </si>
  <si>
    <t>C381115</t>
  </si>
  <si>
    <t>DC-005-5A-2.5</t>
  </si>
  <si>
    <t>XKB Connectivity</t>
  </si>
  <si>
    <t>Through Hole</t>
  </si>
  <si>
    <t>Power Barrel Connector Jack 2.5mm ID 6.5mm OD Through Hole, Right Angle</t>
  </si>
  <si>
    <t>0.2796</t>
  </si>
  <si>
    <t>1.40</t>
  </si>
  <si>
    <t>C908221</t>
  </si>
  <si>
    <t>DSR1M</t>
  </si>
  <si>
    <t>FUXINSEMI</t>
  </si>
  <si>
    <t>SOD-123</t>
  </si>
  <si>
    <t>Diode 1000V 1A Surface Mount SOD-123</t>
  </si>
  <si>
    <t>0.0069</t>
  </si>
  <si>
    <t>0.69</t>
  </si>
  <si>
    <t>C134191</t>
  </si>
  <si>
    <t>K8-5851E-N1</t>
  </si>
  <si>
    <t>Korean Hroparts Elec</t>
  </si>
  <si>
    <t>Pushbutton Switch Rectangular Button Through Hole</t>
  </si>
  <si>
    <t>0.1816</t>
  </si>
  <si>
    <t>1.82</t>
  </si>
  <si>
    <t>C440004</t>
  </si>
  <si>
    <t>FM21X102K501PXG</t>
  </si>
  <si>
    <t>PSA(Prosperity Dielectrics)</t>
  </si>
  <si>
    <t>1nF ¬±10% 500V Ceramic Capacitor X7R 0805</t>
  </si>
  <si>
    <t>0.009</t>
  </si>
  <si>
    <t>0.45</t>
  </si>
  <si>
    <t>C82522</t>
  </si>
  <si>
    <t>MM1Z24</t>
  </si>
  <si>
    <t>ST(Semtech)</t>
  </si>
  <si>
    <t>Zener Diode Independent 24V 500mW Surface Mount SOD-123</t>
  </si>
  <si>
    <t>0.0167</t>
  </si>
  <si>
    <t>0.84</t>
  </si>
  <si>
    <t>C351450</t>
  </si>
  <si>
    <t>AMS1117-5.0S</t>
  </si>
  <si>
    <t>UMW(Youtai Semiconductor Co., Ltd.)</t>
  </si>
  <si>
    <t>SOT-89</t>
  </si>
  <si>
    <t>Linear Voltage Regulator IC Positive Fixed 1 Output SOT-89</t>
  </si>
  <si>
    <t>0.0711</t>
  </si>
  <si>
    <t>0.36</t>
  </si>
  <si>
    <t>C602037</t>
  </si>
  <si>
    <t>CL21A226MAYNNNE</t>
  </si>
  <si>
    <t>Samsung Electro-Mechanics</t>
  </si>
  <si>
    <t>22uF ¬±20% 25V Ceramic Capacitor X5R 0805</t>
  </si>
  <si>
    <t>0.0235</t>
  </si>
  <si>
    <t>0.47</t>
  </si>
  <si>
    <t>C83054</t>
  </si>
  <si>
    <t>0603B104K250CT</t>
  </si>
  <si>
    <t>100nF ¬±10% 25V Ceramic Capacitor X7R 0603</t>
  </si>
  <si>
    <t>0.0018</t>
  </si>
  <si>
    <t>0.18</t>
  </si>
  <si>
    <t>C295917</t>
  </si>
  <si>
    <t>0402B103J500CT</t>
  </si>
  <si>
    <t>10nF ¬±5% 50V Ceramic Capacitor X7R 0402</t>
  </si>
  <si>
    <t>0.0015</t>
  </si>
  <si>
    <t>0.15</t>
  </si>
  <si>
    <t>C369599</t>
  </si>
  <si>
    <t>30N06</t>
  </si>
  <si>
    <t>TO-252</t>
  </si>
  <si>
    <t>N-Channel 60V 30A 55W Surface Mount TO-252</t>
  </si>
  <si>
    <t>0.1744</t>
  </si>
  <si>
    <t>0.87</t>
  </si>
  <si>
    <t>C104211</t>
  </si>
  <si>
    <t>RTT05302JTP</t>
  </si>
  <si>
    <t>3kŒ© ¬±5% 125mW 0805 Thick Film Resistor</t>
  </si>
  <si>
    <t>0.0029</t>
  </si>
  <si>
    <t>0.29</t>
  </si>
  <si>
    <t>C75856</t>
  </si>
  <si>
    <t>LMT85LP</t>
  </si>
  <si>
    <t>TO-92</t>
  </si>
  <si>
    <t>-50‚ÑÉ~+150‚ÑÉ ¬±2.7‚ÑÉ TO-92 Analog and Digital Output RoHS</t>
  </si>
  <si>
    <t>0.9514</t>
  </si>
  <si>
    <t>4.76</t>
  </si>
  <si>
    <t>C14877</t>
  </si>
  <si>
    <t>ATMEGA328P-AU</t>
  </si>
  <si>
    <t>Microchip Tech</t>
  </si>
  <si>
    <t>TQFP-32(7x7)</t>
  </si>
  <si>
    <t>AVR 8 Bit 20MHz 23 TQFP-32(7x7) Microcontrollers RoHS</t>
  </si>
  <si>
    <t>30.86</t>
  </si>
  <si>
    <t>C125975</t>
  </si>
  <si>
    <t>UWT1V101MCL1GS</t>
  </si>
  <si>
    <t>Nichicon</t>
  </si>
  <si>
    <t>SMD,D6.3xL7.7mm</t>
  </si>
  <si>
    <t>100uF ¬±20% 35V Aluminum Electrolytic Capacitors 1000hrs@105‚ÑÉ</t>
  </si>
  <si>
    <t>0.0733</t>
  </si>
  <si>
    <t>0.37</t>
  </si>
  <si>
    <t>C110703</t>
  </si>
  <si>
    <t>PESDMC2FD18VB</t>
  </si>
  <si>
    <t>Shanghai Prisemi Elec</t>
  </si>
  <si>
    <t>DFN1006-2</t>
  </si>
  <si>
    <t>60VC Clamp 2.5A@8/20us Ipp ESD DIODE DFN1006-2</t>
  </si>
  <si>
    <t>0.0451</t>
  </si>
  <si>
    <t>C2904521</t>
  </si>
  <si>
    <t>HoLTT0603-1/10W-4.7K-1%</t>
  </si>
  <si>
    <t>Milliohm</t>
  </si>
  <si>
    <t>4.7kŒ© ¬±1% 100mW 0603 Thick Film Resistor</t>
  </si>
  <si>
    <t>0.0302</t>
  </si>
  <si>
    <t>1.81</t>
  </si>
  <si>
    <t>SMD,2x2mm</t>
  </si>
  <si>
    <t>SMD,2x2mm LED Addressable, Specialty RoHS</t>
  </si>
  <si>
    <t>0.0669</t>
  </si>
  <si>
    <t>13.38</t>
  </si>
  <si>
    <t>C3017744</t>
  </si>
  <si>
    <t>SCR0603J470R</t>
  </si>
  <si>
    <t>VO</t>
  </si>
  <si>
    <t>100mW 470Œ© 75V Thick Film Resistor ¬±200ppm/‚ÑÉ ¬±5% 0603 Chip Resistor - Surface Mount RoHS</t>
  </si>
  <si>
    <t>0.0011</t>
  </si>
  <si>
    <t>0.11</t>
  </si>
  <si>
    <t>C3016353</t>
  </si>
  <si>
    <t>SCR0603F22K</t>
  </si>
  <si>
    <t>100mW 22kŒ© 75V Thick Film Resistor ¬±100ppm/‚ÑÉ ¬±1% 0603 Chip Resistor - Surface Mount RoHS</t>
  </si>
  <si>
    <t>C223907</t>
  </si>
  <si>
    <t>TYPE-C-31-M-14</t>
  </si>
  <si>
    <t>USB-C (USB TYPE-C) Receptacle Connector 16 Position Surface Mount</t>
  </si>
  <si>
    <t>0.4519</t>
  </si>
  <si>
    <t>9.04</t>
  </si>
  <si>
    <t>C965790</t>
  </si>
  <si>
    <t>XL-1005SURC</t>
  </si>
  <si>
    <t>Red 625nm LED Indication - Discrete 2.3V 0402</t>
  </si>
  <si>
    <t>C105620</t>
  </si>
  <si>
    <t>CC0603JRNPO9BN220</t>
  </si>
  <si>
    <t>22pF ¬±5% 50V Ceramic Capacitor NP0 0603</t>
  </si>
  <si>
    <t>0.0023</t>
  </si>
  <si>
    <t>0.23</t>
  </si>
  <si>
    <t>C69335</t>
  </si>
  <si>
    <t>CL10A475KA8NQNC</t>
  </si>
  <si>
    <t>4.7uF ¬±10% 25V Ceramic Capacitor X5R 0603</t>
  </si>
  <si>
    <t>0.0173</t>
  </si>
  <si>
    <t>C424093</t>
  </si>
  <si>
    <t>MCP73831T-2ACI/OT</t>
  </si>
  <si>
    <t>3.75V~6V Lithium Battery 1 550mA SOT-23-5 Battery Chargers ICs RoHS</t>
  </si>
  <si>
    <t>0.6523</t>
  </si>
  <si>
    <t>6.52</t>
  </si>
  <si>
    <t>C56392</t>
  </si>
  <si>
    <t>0402B104K250NT</t>
  </si>
  <si>
    <t>100nF ¬±10% 25V Ceramic Capacitor X7R 0402</t>
  </si>
  <si>
    <t>0.0012</t>
  </si>
  <si>
    <t>0.12</t>
  </si>
  <si>
    <t>C105873</t>
  </si>
  <si>
    <t>RC0402JR-075K1L</t>
  </si>
  <si>
    <t>5.1kŒ© ¬±5% 62.5mW 0402 Thick Film Resistor</t>
  </si>
  <si>
    <t>0.0006</t>
  </si>
  <si>
    <t>0.06</t>
  </si>
  <si>
    <t>C107000</t>
  </si>
  <si>
    <t>CC0402JRNPO9BN200</t>
  </si>
  <si>
    <t>20pF ¬±5% 50V Ceramic Capacitor NP0 0402</t>
  </si>
  <si>
    <t>0.001</t>
  </si>
  <si>
    <t>0.10</t>
  </si>
  <si>
    <t>1uF ¬±20% 10V Ceramic Capacitor X5R 0402</t>
  </si>
  <si>
    <t>0.0026</t>
  </si>
  <si>
    <t>0.26</t>
  </si>
  <si>
    <t>SMD,4x4mm</t>
  </si>
  <si>
    <t>3.4A 2.2uH ¬±20% 3.4A 46mŒ© SMD,4x4mm Fixed Inductors RoHS</t>
  </si>
  <si>
    <t>0.0499</t>
  </si>
  <si>
    <t>0.50</t>
  </si>
  <si>
    <t>1.5MHz Step-down type Adjustable 600mV~5.5V 2A SOT-23-5 Voltage Regulators - DC DC Switching Regulators RoHS</t>
  </si>
  <si>
    <t>0.051</t>
  </si>
  <si>
    <t>0.51</t>
  </si>
  <si>
    <t>10kŒ© ¬±1% 62.5mW 0402 Thick Film Resistor</t>
  </si>
  <si>
    <t>C1660</t>
  </si>
  <si>
    <t>0603CG3R3C500NT</t>
  </si>
  <si>
    <t>3.3pF 50V Ceramic Capacitor C0G 0603</t>
  </si>
  <si>
    <t>0.0027</t>
  </si>
  <si>
    <t>0.27</t>
  </si>
  <si>
    <t>C258501</t>
  </si>
  <si>
    <t>C1005NP0100JGTS</t>
  </si>
  <si>
    <t>Darfon Elec</t>
  </si>
  <si>
    <t>10pF ¬±5% 50V Ceramic Capacitor NP0 0402</t>
  </si>
  <si>
    <t>0.0025</t>
  </si>
  <si>
    <t>0.25</t>
  </si>
  <si>
    <t>C2827654</t>
  </si>
  <si>
    <t>TECH PUBLIC</t>
  </si>
  <si>
    <t>12VC Clamp 6A Ipp ESD DIODE SOT-23-6</t>
  </si>
  <si>
    <t>0.0307</t>
  </si>
  <si>
    <t>0.31</t>
  </si>
  <si>
    <t>C2843335</t>
  </si>
  <si>
    <t>W25Q16JVUXIQ</t>
  </si>
  <si>
    <t>Winbond Elec</t>
  </si>
  <si>
    <t>USON-8-EP(2x3)</t>
  </si>
  <si>
    <t>2.7V~3.6V 16Mbit 133MHz SPI USON-8-EP(2x3) Memory (ICs) RoHS</t>
  </si>
  <si>
    <t>0.4069</t>
  </si>
  <si>
    <t>2.03</t>
  </si>
  <si>
    <t>C2885592</t>
  </si>
  <si>
    <t>X252040MMB4SI</t>
  </si>
  <si>
    <t>YXC Crystal Oscillators</t>
  </si>
  <si>
    <t>SMD2520-4P</t>
  </si>
  <si>
    <t>Crystal 40MHz ¬±10ppm 10pF SMD2520-4P</t>
  </si>
  <si>
    <t>0.0897</t>
  </si>
  <si>
    <t>0.90</t>
  </si>
  <si>
    <t>C2913194</t>
  </si>
  <si>
    <t>ESP32-S3R8</t>
  </si>
  <si>
    <t>QFN-56(7x7)</t>
  </si>
  <si>
    <t>-74.2dBm 150Mbps 2.412GHz~2.484GHz 2.4GHz 3V~3.6V QFN-56(7x7) RF Transceiver ICs RoHS</t>
  </si>
  <si>
    <t>17.98</t>
  </si>
  <si>
    <t>RF ANTENNA Patch Surface Mount 1206</t>
  </si>
  <si>
    <t>0.0467</t>
  </si>
  <si>
    <t>0.0662</t>
  </si>
  <si>
    <t>2.65</t>
  </si>
  <si>
    <t>10uF ¬±20% 10V Ceramic Capacitor X5R 0402</t>
  </si>
  <si>
    <t>0.0418</t>
  </si>
  <si>
    <t>1.25</t>
  </si>
  <si>
    <t>C370234</t>
  </si>
  <si>
    <t>SDCL1608C2N0STDF</t>
  </si>
  <si>
    <t>Sunlord</t>
  </si>
  <si>
    <t>0.0078</t>
  </si>
  <si>
    <t>0.39</t>
  </si>
  <si>
    <t>PANASONIC</t>
  </si>
  <si>
    <t>22Œ© 100mW Thick Film Resistor ¬±100ppm/‚ÑÉ ¬±1% 0402 Chip Resistor - Surface Mount RoHS</t>
  </si>
  <si>
    <t>0.0046</t>
  </si>
  <si>
    <t>0.46</t>
  </si>
  <si>
    <t>SMD,4.7x3.5mm</t>
  </si>
  <si>
    <t>Tactile Switch SPST 1N 2.5mm J-Lead 4.7mm x 3.5mm Surface Mount</t>
  </si>
  <si>
    <t>0.2153</t>
  </si>
  <si>
    <t>4.31</t>
  </si>
  <si>
    <t>100kŒ© 62.5mW 50V Thin Film Resistor ¬±50ppm/‚ÑÉ ¬±0.25% 0402 Chip Resistor - Surface Mount RoHS</t>
  </si>
  <si>
    <t>0.0287</t>
  </si>
  <si>
    <t>0.57</t>
  </si>
  <si>
    <t>4.7uF ¬±20% 6.3V Ceramic Capacitor X5R 0402</t>
  </si>
  <si>
    <t>0.0055</t>
  </si>
  <si>
    <t>0.55</t>
  </si>
  <si>
    <t>C93232</t>
  </si>
  <si>
    <t>DST310S 32.768KHz</t>
  </si>
  <si>
    <t>SMD3215-2P</t>
  </si>
  <si>
    <t>12.5pF SMD3215-2P Crystals RoHS</t>
  </si>
  <si>
    <t>0.2609</t>
  </si>
  <si>
    <t>1.30</t>
  </si>
  <si>
    <t>C3040637</t>
  </si>
  <si>
    <t>TPMCP1702T-5002E/MB</t>
  </si>
  <si>
    <t>SOT-89-3</t>
  </si>
  <si>
    <t>5V Positive Fixed SOT-89-3 Voltage Regulators - Linear, Low Drop Out (LDO) Regulators RoHS</t>
  </si>
  <si>
    <t>0.233</t>
  </si>
  <si>
    <t>2.33</t>
  </si>
  <si>
    <t>C99269</t>
  </si>
  <si>
    <t>TMP102AIDRLR</t>
  </si>
  <si>
    <t>SOT-563</t>
  </si>
  <si>
    <t>-40‚ÑÉ~+125‚ÑÉ I2C ¬±0.5‚ÑÉ SOT-563 Analog and Digital Output RoHS</t>
  </si>
  <si>
    <t>0.2658</t>
  </si>
  <si>
    <t>1.33</t>
  </si>
  <si>
    <t>C141380</t>
  </si>
  <si>
    <t>PCA9557PW,118</t>
  </si>
  <si>
    <t>NXP Semicon</t>
  </si>
  <si>
    <t>TSSOP-16</t>
  </si>
  <si>
    <t>8 TSSOP-16 I/O Expanders RoHS</t>
  </si>
  <si>
    <t>0.6425</t>
  </si>
  <si>
    <t>3.21</t>
  </si>
  <si>
    <t>C965818</t>
  </si>
  <si>
    <t>XL-2012UWC</t>
  </si>
  <si>
    <t>White LED Indication - Discrete 3.3V 0805</t>
  </si>
  <si>
    <t>0.0089</t>
  </si>
  <si>
    <t>C2837587</t>
  </si>
  <si>
    <t>KH-BNC50-3511</t>
  </si>
  <si>
    <t>Connector Receptacle BNC Female Pin 50Œ© Through Hole Right Angle</t>
  </si>
  <si>
    <t>0.8258</t>
  </si>
  <si>
    <t>4.13</t>
  </si>
  <si>
    <t>C193969</t>
  </si>
  <si>
    <t>ADS1015IDGSR</t>
  </si>
  <si>
    <t>VSSOP-10-0.5mm</t>
  </si>
  <si>
    <t>I2C 2V~5.5V VSSOP-10-0.5mm Analog to Digital Converters (ADC) RoHS</t>
  </si>
  <si>
    <t>5.19</t>
  </si>
  <si>
    <t>C2761457</t>
  </si>
  <si>
    <t>AS0BC21-S48BE-7H</t>
  </si>
  <si>
    <t>FOXCONN</t>
  </si>
  <si>
    <t>SMD,P=0.5mm,Surface Mount,Right Angle</t>
  </si>
  <si>
    <t>67P Surface Mount, Right Angle SMD,P=0.5mm,Surface Mount,Right Angle Centronics Connectors RoHS</t>
  </si>
  <si>
    <t>0.9805</t>
  </si>
  <si>
    <t>4.90</t>
  </si>
  <si>
    <t>C2761526</t>
  </si>
  <si>
    <t>AS0BC21-S40BB-7H</t>
  </si>
  <si>
    <t>0.3079</t>
  </si>
  <si>
    <t>6.16</t>
  </si>
  <si>
    <t>0.2288</t>
  </si>
  <si>
    <t>6.86</t>
  </si>
  <si>
    <t>0.0334</t>
  </si>
  <si>
    <t>0.33</t>
  </si>
  <si>
    <t>C144198</t>
  </si>
  <si>
    <t>MCP4725A0T-E/CH</t>
  </si>
  <si>
    <t>MICROCHIP</t>
  </si>
  <si>
    <t>6us 2.7V~5.5V 2LSB I2C SOT-23-6 Digital to Analog Converters (DAC) RoHS</t>
  </si>
  <si>
    <t>0.8004</t>
  </si>
  <si>
    <t>2.40</t>
  </si>
  <si>
    <t>C7813</t>
  </si>
  <si>
    <t>SN74LVC125APWR</t>
  </si>
  <si>
    <t>TI</t>
  </si>
  <si>
    <t>TSSOP-14</t>
  </si>
  <si>
    <t>1.65V~3.6V 1 4 2.5ns@3.3V,50pF 40uA TSSOP-14 Buffers, Drivers, Receivers, Transceivers RoHS</t>
  </si>
  <si>
    <t>0.1412</t>
  </si>
  <si>
    <t>0.71</t>
  </si>
  <si>
    <t>C393941</t>
  </si>
  <si>
    <t>TF PUSH</t>
  </si>
  <si>
    <t>SHOU HAN</t>
  </si>
  <si>
    <t>Micro SD card (TF card) Connector and Ejector Push-Push Surface Mount</t>
  </si>
  <si>
    <t>0.0509</t>
  </si>
  <si>
    <t>C2765186</t>
  </si>
  <si>
    <t>TYPE-C 16PIN 2MD(073)</t>
  </si>
  <si>
    <t>USB-C (USB TYPE-C) Receptacle Connector 16 Position Surface Mount, Right Angle</t>
  </si>
  <si>
    <t>0.0505</t>
  </si>
  <si>
    <t>1.01</t>
  </si>
  <si>
    <t>0.0528</t>
  </si>
  <si>
    <t>2.64</t>
  </si>
  <si>
    <t>C295941</t>
  </si>
  <si>
    <t>0402X225K100CT</t>
  </si>
  <si>
    <t>CC0402JRNPO9BN120</t>
  </si>
  <si>
    <t>C42458750</t>
  </si>
  <si>
    <t>2.4GHz BLE/Thread/Zigbee SoC QFN-48 1.5MB NVM</t>
  </si>
  <si>
    <t>C238338</t>
  </si>
  <si>
    <t>RC0402FR-0768KL</t>
  </si>
  <si>
    <t>68kΩ ±1% 62.5mW 0402 Thick Film Resistor</t>
  </si>
  <si>
    <t>RC0402FR-0782KL</t>
  </si>
  <si>
    <t>82kΩ ±1% 62.5mW 0402 Thick Film Resistor</t>
  </si>
  <si>
    <t>RC0402FR-07180KL</t>
  </si>
  <si>
    <t>180kΩ ±1% 62.5mW 0402 Thick Film Resistor</t>
  </si>
  <si>
    <t>RC0402FR-0747KL</t>
  </si>
  <si>
    <t>47kΩ ±1% 62.5mW 0402 Thick Film Resistor</t>
  </si>
  <si>
    <t>C106235</t>
  </si>
  <si>
    <t>RC0402FR-071KL</t>
  </si>
  <si>
    <t>1kΩ ±1% 62.5mW 0402 Thick Film Resistor</t>
  </si>
  <si>
    <t>1MHz 1.8V~6V Single Op-Amp SOT-23-5</t>
  </si>
  <si>
    <t>C113671</t>
  </si>
  <si>
    <t>X322532MMB4SI</t>
  </si>
  <si>
    <t>32MHz ±10ppm 10pF SMD3225-4P Crystal</t>
  </si>
  <si>
    <t>C20917</t>
  </si>
  <si>
    <t>AOS</t>
  </si>
  <si>
    <t>AO3400A</t>
  </si>
  <si>
    <t>±0.1°C I2C WSON-6-EP(2x2) Temperature Sensor</t>
  </si>
  <si>
    <t>30V 5.7A N-ch MOSFET SOT-23</t>
  </si>
  <si>
    <t>±0.1°C I2C WSON-6-EP(2x2) Temperature Sensor (MAIDRVT obsoleet)</t>
  </si>
  <si>
    <t>C137932</t>
  </si>
  <si>
    <t>C138046</t>
  </si>
  <si>
    <t>C93943</t>
  </si>
  <si>
    <t>2.2uF ±10% 10V X5R 0402</t>
  </si>
  <si>
    <t>C106861</t>
  </si>
  <si>
    <t>CC0402KRX7R9BB222</t>
  </si>
  <si>
    <t>2.2nF ±10% 50V X7R 0402</t>
  </si>
  <si>
    <t>470Ω ±5% 100mW 0603 (uit inventory)</t>
  </si>
  <si>
    <t>C106201</t>
  </si>
  <si>
    <t>12pF ±5% 50V NP0 0402</t>
  </si>
  <si>
    <t>CC0402BRNPO9BN2R0</t>
  </si>
  <si>
    <t>2pF ±0.1pF 50V NP0 0402 (niet op LCSC, zie Farnell)</t>
  </si>
  <si>
    <t>C7393858</t>
  </si>
  <si>
    <t>CAP CER 390nF 16V X5R 0402</t>
  </si>
  <si>
    <t>TCC0402X5R394K160AT</t>
  </si>
  <si>
    <t>RES 5.1kΩ ±5% 62.5mW 0402</t>
  </si>
  <si>
    <t>CCTC</t>
  </si>
  <si>
    <t>CC0402KRX5R6BB105</t>
  </si>
  <si>
    <t>C106254</t>
  </si>
  <si>
    <t>CAP CER 1uF 10V X5R 0402</t>
  </si>
  <si>
    <t>CC0402KRX7R8BB103</t>
  </si>
  <si>
    <t>C327025</t>
  </si>
  <si>
    <t>CAP CER 10nF 25V X7R 0402</t>
  </si>
  <si>
    <t>TBT</t>
  </si>
  <si>
    <t>LED_SMD:LED_0402_1608Metric_Pad1.05x0.95mm_HandSolder</t>
  </si>
  <si>
    <t>TCGL0603C3N5SZT</t>
  </si>
  <si>
    <t>450mA 3.5nH 250mΩ Multilayer inductor 0201 Fixed Inductors RoHS</t>
  </si>
  <si>
    <t>C52109755</t>
  </si>
  <si>
    <t>muRata</t>
  </si>
  <si>
    <t>LQG15HS2N7S02D</t>
  </si>
  <si>
    <t>FIXED IND 2.7nH 800mA 120mΩ 0402</t>
  </si>
  <si>
    <t>C77108</t>
  </si>
  <si>
    <t>MLZ1608M4R7WT000</t>
  </si>
  <si>
    <t>FIXED IND 4.7uH 500mΩ 0603</t>
  </si>
  <si>
    <t>C76799</t>
  </si>
  <si>
    <t>TDK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</si>
</sst>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####0\W"/>
    <numFmt numFmtId="165" formatCode="0.####0\V"/>
    <numFmt numFmtId="166" formatCode="0.####0\A"/>
    <numFmt numFmtId="167" formatCode="[$$-409]#,##0.0000"/>
    <numFmt numFmtId="168" formatCode="&quot;€&quot;#,##0.0000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C3C3C"/>
      <name val="Roboto"/>
    </font>
    <font>
      <b/>
      <sz val="10"/>
      <color theme="1"/>
      <name val="Arial"/>
      <family val="2"/>
    </font>
    <font>
      <b/>
      <vertAlign val="subscript"/>
      <sz val="10"/>
      <color rgb="FF000000"/>
      <name val="Arial"/>
      <family val="2"/>
    </font>
    <font>
      <sz val="9"/>
      <color rgb="FF3C3C3C"/>
      <name val="Roboto"/>
    </font>
    <font>
      <b/>
      <sz val="9"/>
      <color rgb="FF3C3C3C"/>
      <name val="Roboto"/>
    </font>
    <font>
      <b/>
      <sz val="9"/>
      <color rgb="FFFFFFFF"/>
      <name val="Roboto"/>
    </font>
    <font>
      <b/>
      <sz val="11"/>
      <color rgb="FFFFFFFF"/>
      <name val="Roboto"/>
    </font>
    <font>
      <b/>
      <sz val="10"/>
      <color rgb="FFFFFFFF"/>
      <name val="Roboto"/>
    </font>
    <font>
      <b/>
      <sz val="10"/>
      <color rgb="FF3C3C3C"/>
      <name val="Roboto"/>
    </font>
    <font>
      <sz val="11"/>
      <color theme="1"/>
      <name val="Roboto"/>
    </font>
    <font>
      <b/>
      <sz val="12"/>
      <color theme="1"/>
      <name val="Roboto"/>
    </font>
    <font>
      <sz val="10"/>
      <color theme="1"/>
      <name val="Roboto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/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 style="medium">
        <color rgb="FF404040"/>
      </left>
      <right style="medium">
        <color rgb="FF404040"/>
      </right>
      <top/>
      <bottom style="medium">
        <color rgb="FF404040"/>
      </bottom>
      <diagonal/>
    </border>
    <border>
      <left/>
      <right style="medium">
        <color rgb="FF404040"/>
      </right>
      <top/>
      <bottom style="medium">
        <color rgb="FF404040"/>
      </bottom>
      <diagonal/>
    </border>
    <border>
      <left style="thick">
        <color rgb="FF404040"/>
      </left>
      <right/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n">
        <color auto="1"/>
      </left>
      <right/>
      <top/>
      <bottom style="thick">
        <color theme="1"/>
      </bottom>
      <diagonal/>
    </border>
    <border>
      <left style="thin">
        <color auto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 style="medium">
        <color theme="1"/>
      </top>
      <bottom style="mediumDashed">
        <color theme="1"/>
      </bottom>
      <diagonal/>
    </border>
    <border>
      <left/>
      <right/>
      <top style="medium">
        <color theme="1"/>
      </top>
      <bottom style="mediumDashed">
        <color theme="1"/>
      </bottom>
      <diagonal/>
    </border>
    <border>
      <left/>
      <right style="medium">
        <color theme="1"/>
      </right>
      <top style="medium">
        <color theme="1"/>
      </top>
      <bottom style="mediumDashed">
        <color theme="1"/>
      </bottom>
      <diagonal/>
    </border>
    <border>
      <left/>
      <right style="thick">
        <color theme="1"/>
      </right>
      <top style="medium">
        <color theme="1"/>
      </top>
      <bottom style="mediumDashed">
        <color theme="1"/>
      </bottom>
      <diagonal/>
    </border>
    <border>
      <left style="thick">
        <color rgb="FF404040"/>
      </left>
      <right style="thick">
        <color theme="1"/>
      </right>
      <top style="mediumDashed">
        <color theme="1"/>
      </top>
      <bottom/>
      <diagonal/>
    </border>
    <border>
      <left style="thick">
        <color rgb="FF404040"/>
      </left>
      <right style="thick">
        <color theme="1"/>
      </right>
      <top/>
      <bottom/>
      <diagonal/>
    </border>
    <border>
      <left style="medium">
        <color rgb="FF404040"/>
      </left>
      <right/>
      <top style="medium">
        <color rgb="FF404040"/>
      </top>
      <bottom style="thin">
        <color theme="1"/>
      </bottom>
      <diagonal/>
    </border>
    <border>
      <left/>
      <right style="medium">
        <color rgb="FF404040"/>
      </right>
      <top style="medium">
        <color rgb="FF404040"/>
      </top>
      <bottom style="thin">
        <color theme="1"/>
      </bottom>
      <diagonal/>
    </border>
  </borders>
  <cellStyleXfs count="1">
    <xf numFmtId="0" fontId="0" fillId="0" borderId="0"/>
  </cellStyleXfs>
  <cellXfs count="59">
    <xf numFmtId="0" fontId="0" fillId="0" borderId="0" xfId="0"/>
    <xf numFmtId="49" fontId="0" fillId="0" borderId="0" xfId="0" applyNumberFormat="1"/>
    <xf numFmtId="1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164" fontId="0" fillId="2" borderId="2" xfId="0" applyNumberFormat="1" applyFill="1" applyBorder="1"/>
    <xf numFmtId="0" fontId="5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49" fontId="7" fillId="0" borderId="7" xfId="0" applyNumberFormat="1" applyFont="1" applyBorder="1" applyAlignment="1">
      <alignment vertical="center"/>
    </xf>
    <xf numFmtId="0" fontId="9" fillId="5" borderId="4" xfId="0" applyFont="1" applyFill="1" applyBorder="1" applyAlignment="1">
      <alignment vertical="center"/>
    </xf>
    <xf numFmtId="0" fontId="9" fillId="5" borderId="5" xfId="0" applyFont="1" applyFill="1" applyBorder="1" applyAlignment="1">
      <alignment vertical="center"/>
    </xf>
    <xf numFmtId="164" fontId="0" fillId="2" borderId="1" xfId="0" applyNumberFormat="1" applyFill="1" applyBorder="1"/>
    <xf numFmtId="165" fontId="5" fillId="3" borderId="12" xfId="0" applyNumberFormat="1" applyFont="1" applyFill="1" applyBorder="1" applyAlignment="1">
      <alignment vertical="center"/>
    </xf>
    <xf numFmtId="166" fontId="5" fillId="3" borderId="13" xfId="0" applyNumberFormat="1" applyFont="1" applyFill="1" applyBorder="1" applyAlignment="1">
      <alignment vertical="center"/>
    </xf>
    <xf numFmtId="164" fontId="5" fillId="3" borderId="13" xfId="0" applyNumberFormat="1" applyFont="1" applyFill="1" applyBorder="1" applyAlignment="1">
      <alignment vertical="center"/>
    </xf>
    <xf numFmtId="10" fontId="5" fillId="0" borderId="13" xfId="0" applyNumberFormat="1" applyFont="1" applyBorder="1" applyAlignment="1">
      <alignment vertical="center"/>
    </xf>
    <xf numFmtId="165" fontId="5" fillId="4" borderId="13" xfId="0" applyNumberFormat="1" applyFont="1" applyFill="1" applyBorder="1" applyAlignment="1">
      <alignment vertical="center"/>
    </xf>
    <xf numFmtId="164" fontId="5" fillId="4" borderId="13" xfId="0" applyNumberFormat="1" applyFont="1" applyFill="1" applyBorder="1" applyAlignment="1">
      <alignment vertical="center"/>
    </xf>
    <xf numFmtId="166" fontId="5" fillId="4" borderId="14" xfId="0" applyNumberFormat="1" applyFont="1" applyFill="1" applyBorder="1" applyAlignment="1">
      <alignment vertical="center"/>
    </xf>
    <xf numFmtId="0" fontId="11" fillId="6" borderId="15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7" borderId="15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1" fillId="7" borderId="20" xfId="0" applyFont="1" applyFill="1" applyBorder="1" applyAlignment="1">
      <alignment horizontal="center" vertical="center" wrapText="1"/>
    </xf>
    <xf numFmtId="0" fontId="11" fillId="7" borderId="21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vertical="center"/>
    </xf>
    <xf numFmtId="0" fontId="9" fillId="5" borderId="6" xfId="0" applyFont="1" applyFill="1" applyBorder="1" applyAlignment="1">
      <alignment vertical="center"/>
    </xf>
    <xf numFmtId="0" fontId="9" fillId="5" borderId="7" xfId="0" applyFont="1" applyFill="1" applyBorder="1" applyAlignment="1">
      <alignment vertical="center"/>
    </xf>
    <xf numFmtId="0" fontId="7" fillId="0" borderId="7" xfId="0" applyFont="1" applyBorder="1" applyAlignment="1">
      <alignment vertical="center"/>
    </xf>
    <xf numFmtId="49" fontId="11" fillId="6" borderId="15" xfId="0" applyNumberFormat="1" applyFont="1" applyFill="1" applyBorder="1" applyAlignment="1">
      <alignment horizontal="center" vertical="center" wrapText="1"/>
    </xf>
    <xf numFmtId="49" fontId="11" fillId="6" borderId="8" xfId="0" applyNumberFormat="1" applyFont="1" applyFill="1" applyBorder="1" applyAlignment="1">
      <alignment horizontal="center" vertical="center" wrapText="1"/>
    </xf>
    <xf numFmtId="9" fontId="7" fillId="0" borderId="7" xfId="0" applyNumberFormat="1" applyFont="1" applyBorder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7" fontId="13" fillId="0" borderId="0" xfId="0" applyNumberFormat="1" applyFont="1"/>
    <xf numFmtId="0" fontId="16" fillId="0" borderId="0" xfId="0" applyFont="1"/>
    <xf numFmtId="0" fontId="17" fillId="8" borderId="0" xfId="0" applyFont="1" applyFill="1"/>
    <xf numFmtId="0" fontId="3" fillId="0" borderId="0" xfId="0" applyFont="1"/>
    <xf numFmtId="0" fontId="18" fillId="0" borderId="0" xfId="0" applyFont="1"/>
    <xf numFmtId="168" fontId="0" fillId="0" borderId="0" xfId="0" applyNumberFormat="1"/>
    <xf numFmtId="0" fontId="3" fillId="9" borderId="0" xfId="0" applyFont="1" applyFill="1"/>
    <xf numFmtId="0" fontId="0" fillId="9" borderId="0" xfId="0" applyFill="1"/>
    <xf numFmtId="168" fontId="3" fillId="9" borderId="0" xfId="0" applyNumberFormat="1" applyFont="1" applyFill="1"/>
    <xf numFmtId="0" fontId="1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1" fillId="5" borderId="16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88"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  <dxf>
      <fill>
        <patternFill patternType="solid">
          <fgColor rgb="FFFF0000"/>
          <bgColor theme="9" tint="0.59996337778862885"/>
        </patternFill>
      </fill>
    </dxf>
    <dxf>
      <fill>
        <patternFill patternType="solid">
          <fgColor rgb="FFFF0000"/>
          <bgColor theme="9" tint="0.79998168889431442"/>
        </patternFill>
      </fill>
    </dxf>
    <dxf>
      <fill>
        <patternFill patternType="solid">
          <fgColor rgb="FFFF0000"/>
          <bgColor theme="5" tint="0.59996337778862885"/>
        </patternFill>
      </fill>
    </dxf>
    <dxf>
      <fill>
        <patternFill patternType="solid">
          <fgColor rgb="FFFF0000"/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</xdr:row>
      <xdr:rowOff>76200</xdr:rowOff>
    </xdr:from>
    <xdr:to>
      <xdr:col>9</xdr:col>
      <xdr:colOff>419100</xdr:colOff>
      <xdr:row>10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483FC5-DB96-1ACF-4CAE-386033E5A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409700"/>
          <a:ext cx="136207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57150</xdr:colOff>
      <xdr:row>16</xdr:row>
      <xdr:rowOff>28575</xdr:rowOff>
    </xdr:from>
    <xdr:to>
      <xdr:col>9</xdr:col>
      <xdr:colOff>285750</xdr:colOff>
      <xdr:row>17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79745E-2F5F-AA86-43E4-D7059F99A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3838575"/>
          <a:ext cx="11715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38100</xdr:colOff>
      <xdr:row>6</xdr:row>
      <xdr:rowOff>171450</xdr:rowOff>
    </xdr:from>
    <xdr:to>
      <xdr:col>6</xdr:col>
      <xdr:colOff>180975</xdr:colOff>
      <xdr:row>8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7D0FF4-6DDE-8DBB-FBAD-27CE6515D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1314450"/>
          <a:ext cx="108585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19050</xdr:colOff>
      <xdr:row>13</xdr:row>
      <xdr:rowOff>76200</xdr:rowOff>
    </xdr:from>
    <xdr:to>
      <xdr:col>6</xdr:col>
      <xdr:colOff>66675</xdr:colOff>
      <xdr:row>15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AB1A989-58F3-D46E-55BD-BAC6AFBD7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4050" y="2552700"/>
          <a:ext cx="11049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35</xdr:col>
      <xdr:colOff>361950</xdr:colOff>
      <xdr:row>2</xdr:row>
      <xdr:rowOff>0</xdr:rowOff>
    </xdr:from>
    <xdr:to>
      <xdr:col>36</xdr:col>
      <xdr:colOff>304800</xdr:colOff>
      <xdr:row>3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F28021-7263-E73C-4178-7AA5BB103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1200150"/>
          <a:ext cx="828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38</xdr:col>
      <xdr:colOff>0</xdr:colOff>
      <xdr:row>2</xdr:row>
      <xdr:rowOff>0</xdr:rowOff>
    </xdr:from>
    <xdr:to>
      <xdr:col>38</xdr:col>
      <xdr:colOff>485775</xdr:colOff>
      <xdr:row>3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E75999-041E-08AF-ABE9-1B13B9135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90100" y="390525"/>
          <a:ext cx="4857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581025</xdr:colOff>
      <xdr:row>0</xdr:row>
      <xdr:rowOff>47625</xdr:rowOff>
    </xdr:from>
    <xdr:ext cx="638174" cy="638174"/>
    <xdr:pic>
      <xdr:nvPicPr>
        <xdr:cNvPr id="4" name="Picture 3">
          <a:extLst>
            <a:ext uri="{FF2B5EF4-FFF2-40B4-BE49-F238E27FC236}">
              <a16:creationId xmlns:a16="http://schemas.microsoft.com/office/drawing/2014/main" id="{EAA0F6EE-9821-48EA-B95C-FDFECAED9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54300" y="47625"/>
          <a:ext cx="638174" cy="638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11</xdr:col>
      <xdr:colOff>581025</xdr:colOff>
      <xdr:row>0</xdr:row>
      <xdr:rowOff>47625</xdr:rowOff>
    </xdr:from>
    <xdr:ext cx="638174" cy="638174"/>
    <xdr:pic>
      <xdr:nvPicPr>
        <xdr:cNvPr id="6" name="Picture 5">
          <a:extLst>
            <a:ext uri="{FF2B5EF4-FFF2-40B4-BE49-F238E27FC236}">
              <a16:creationId xmlns:a16="http://schemas.microsoft.com/office/drawing/2014/main" id="{8B0874D4-0E72-4601-9018-01616774C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54300" y="47625"/>
          <a:ext cx="638174" cy="638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590550</xdr:colOff>
      <xdr:row>26</xdr:row>
      <xdr:rowOff>104775</xdr:rowOff>
    </xdr:from>
    <xdr:ext cx="638174" cy="638174"/>
    <xdr:pic>
      <xdr:nvPicPr>
        <xdr:cNvPr id="2" name="Picture 1">
          <a:extLst>
            <a:ext uri="{FF2B5EF4-FFF2-40B4-BE49-F238E27FC236}">
              <a16:creationId xmlns:a16="http://schemas.microsoft.com/office/drawing/2014/main" id="{28C73C14-2499-420B-90AF-0F88E94C9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5476875"/>
          <a:ext cx="638174" cy="638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11</xdr:col>
      <xdr:colOff>661621</xdr:colOff>
      <xdr:row>26</xdr:row>
      <xdr:rowOff>98913</xdr:rowOff>
    </xdr:from>
    <xdr:ext cx="638174" cy="638174"/>
    <xdr:pic>
      <xdr:nvPicPr>
        <xdr:cNvPr id="3" name="Picture 2">
          <a:extLst>
            <a:ext uri="{FF2B5EF4-FFF2-40B4-BE49-F238E27FC236}">
              <a16:creationId xmlns:a16="http://schemas.microsoft.com/office/drawing/2014/main" id="{B37C3B74-CB82-4DD8-9AF1-4C7CB1A2C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5448" y="5454894"/>
          <a:ext cx="638174" cy="63817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odyTempSensor" connectionId="1" xr16:uid="{DA062234-DFB6-CA4B-8239-859BC101368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CSC__WM2212110099_20260617034224" connectionId="2" xr16:uid="{06E6BE92-5986-4143-9189-C64D0AAC269F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CSC__WM2407090249_20260617034145" connectionId="3" xr16:uid="{9F228B63-54CA-1A4A-9361-CAB5D71DFF0A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CSC__WM2509140097_20260617034302_1" connectionId="4" xr16:uid="{636388EF-35EB-4340-B01C-0AE102A0000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BDC4CF9-F635-D34E-B7F8-A003AAD05FD9}">
  <we:reference id="11d7cf85-ae5a-43b8-bc58-1e1a151cce24" version="1.0.0.1" store="EXCatalog" storeType="EXCatalog"/>
  <we:alternateReferences>
    <we:reference id="WA200010725" version="1.0.0.1" store="en-GB" storeType="OMEX"/>
  </we:alternateReferences>
  <we:properties>
    <we:property name="claude.fileId" value="&quot;28b72084-c2b8-4242-9df8-1334efdb16f1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CDA7-625D-481C-AA0E-C6C2ED9D9132}">
  <sheetPr>
    <tabColor rgb="FFFFC000"/>
  </sheetPr>
  <dimension ref="A1:J45"/>
  <sheetViews>
    <sheetView zoomScale="85" zoomScaleNormal="85" workbookViewId="0">
      <selection activeCell="E44" sqref="E44"/>
    </sheetView>
  </sheetViews>
  <sheetFormatPr baseColWidth="10" defaultColWidth="8.83203125" defaultRowHeight="15" x14ac:dyDescent="0.2"/>
  <cols>
    <col min="1" max="1" width="17.5" bestFit="1" customWidth="1"/>
    <col min="2" max="2" width="19.83203125" style="1" bestFit="1" customWidth="1"/>
    <col min="3" max="4" width="19.83203125" style="1" customWidth="1"/>
    <col min="5" max="6" width="25.33203125" style="1" customWidth="1"/>
    <col min="7" max="7" width="60.5" bestFit="1" customWidth="1"/>
    <col min="8" max="8" width="18.5" customWidth="1"/>
    <col min="9" max="9" width="25.33203125" bestFit="1" customWidth="1"/>
    <col min="10" max="10" width="19.83203125" style="1" bestFit="1" customWidth="1"/>
  </cols>
  <sheetData>
    <row r="1" spans="1:9" x14ac:dyDescent="0.2">
      <c r="A1" t="s">
        <v>102</v>
      </c>
      <c r="B1" s="1" t="s">
        <v>100</v>
      </c>
      <c r="C1" s="1" t="s">
        <v>103</v>
      </c>
      <c r="D1" s="1" t="s">
        <v>112</v>
      </c>
      <c r="E1" s="1" t="s">
        <v>104</v>
      </c>
      <c r="F1" s="1" t="s">
        <v>118</v>
      </c>
      <c r="G1" t="s">
        <v>96</v>
      </c>
      <c r="H1" t="s">
        <v>97</v>
      </c>
      <c r="I1" t="s">
        <v>98</v>
      </c>
    </row>
    <row r="2" spans="1:9" x14ac:dyDescent="0.2">
      <c r="A2" t="s">
        <v>76</v>
      </c>
      <c r="B2" s="1" t="s">
        <v>9</v>
      </c>
      <c r="C2" s="1" t="s">
        <v>87</v>
      </c>
      <c r="E2" s="1" t="s">
        <v>110</v>
      </c>
      <c r="F2" s="1" t="s">
        <v>119</v>
      </c>
      <c r="G2" t="s">
        <v>18</v>
      </c>
      <c r="H2" t="s">
        <v>19</v>
      </c>
      <c r="I2" t="s">
        <v>4</v>
      </c>
    </row>
    <row r="3" spans="1:9" x14ac:dyDescent="0.2">
      <c r="A3" t="s">
        <v>78</v>
      </c>
      <c r="B3" s="1" t="s">
        <v>9</v>
      </c>
      <c r="C3" s="1" t="s">
        <v>87</v>
      </c>
      <c r="E3" s="1" t="s">
        <v>110</v>
      </c>
      <c r="F3" s="1" t="s">
        <v>119</v>
      </c>
      <c r="G3" t="s">
        <v>59</v>
      </c>
      <c r="H3" t="s">
        <v>60</v>
      </c>
      <c r="I3" t="s">
        <v>4</v>
      </c>
    </row>
    <row r="4" spans="1:9" x14ac:dyDescent="0.2">
      <c r="A4" t="s">
        <v>79</v>
      </c>
      <c r="B4" s="1" t="s">
        <v>9</v>
      </c>
      <c r="C4" s="1" t="s">
        <v>87</v>
      </c>
      <c r="E4" s="1" t="s">
        <v>110</v>
      </c>
      <c r="F4" s="1" t="s">
        <v>119</v>
      </c>
      <c r="G4" t="s">
        <v>36</v>
      </c>
      <c r="H4" t="s">
        <v>34</v>
      </c>
      <c r="I4" t="s">
        <v>4</v>
      </c>
    </row>
    <row r="5" spans="1:9" x14ac:dyDescent="0.2">
      <c r="A5" t="s">
        <v>78</v>
      </c>
      <c r="B5" s="1" t="s">
        <v>9</v>
      </c>
      <c r="C5" s="1" t="s">
        <v>87</v>
      </c>
      <c r="E5" s="1" t="s">
        <v>110</v>
      </c>
      <c r="F5" s="1" t="s">
        <v>119</v>
      </c>
      <c r="G5" t="s">
        <v>59</v>
      </c>
      <c r="H5" t="s">
        <v>60</v>
      </c>
      <c r="I5" t="s">
        <v>4</v>
      </c>
    </row>
    <row r="6" spans="1:9" x14ac:dyDescent="0.2">
      <c r="A6" t="s">
        <v>77</v>
      </c>
      <c r="B6" s="1" t="s">
        <v>9</v>
      </c>
      <c r="C6" s="1" t="s">
        <v>86</v>
      </c>
      <c r="E6" s="1" t="s">
        <v>110</v>
      </c>
      <c r="F6" s="1" t="s">
        <v>120</v>
      </c>
      <c r="G6" t="s">
        <v>15</v>
      </c>
      <c r="H6" t="s">
        <v>16</v>
      </c>
      <c r="I6" t="s">
        <v>4</v>
      </c>
    </row>
    <row r="7" spans="1:9" x14ac:dyDescent="0.2">
      <c r="A7" t="s">
        <v>78</v>
      </c>
      <c r="B7" s="1" t="s">
        <v>9</v>
      </c>
      <c r="C7" s="1" t="s">
        <v>87</v>
      </c>
      <c r="E7" s="1" t="s">
        <v>110</v>
      </c>
      <c r="F7" s="1" t="s">
        <v>119</v>
      </c>
      <c r="G7" t="s">
        <v>59</v>
      </c>
      <c r="H7" t="s">
        <v>60</v>
      </c>
      <c r="I7" t="s">
        <v>4</v>
      </c>
    </row>
    <row r="8" spans="1:9" x14ac:dyDescent="0.2">
      <c r="A8" t="s">
        <v>76</v>
      </c>
      <c r="B8" s="1" t="s">
        <v>9</v>
      </c>
      <c r="C8" s="1" t="s">
        <v>87</v>
      </c>
      <c r="E8" s="1" t="s">
        <v>110</v>
      </c>
      <c r="F8" s="1" t="s">
        <v>119</v>
      </c>
      <c r="G8" t="s">
        <v>18</v>
      </c>
      <c r="H8" t="s">
        <v>19</v>
      </c>
      <c r="I8" t="s">
        <v>4</v>
      </c>
    </row>
    <row r="9" spans="1:9" x14ac:dyDescent="0.2">
      <c r="A9" t="s">
        <v>76</v>
      </c>
      <c r="B9" s="1" t="s">
        <v>9</v>
      </c>
      <c r="C9" s="1" t="s">
        <v>87</v>
      </c>
      <c r="E9" s="1" t="s">
        <v>110</v>
      </c>
      <c r="F9" s="1" t="s">
        <v>119</v>
      </c>
      <c r="G9" t="s">
        <v>18</v>
      </c>
      <c r="H9" t="s">
        <v>19</v>
      </c>
      <c r="I9" t="s">
        <v>4</v>
      </c>
    </row>
    <row r="10" spans="1:9" x14ac:dyDescent="0.2">
      <c r="A10" t="s">
        <v>77</v>
      </c>
      <c r="B10" s="1" t="s">
        <v>9</v>
      </c>
      <c r="C10" s="1" t="s">
        <v>86</v>
      </c>
      <c r="E10" s="1" t="s">
        <v>110</v>
      </c>
      <c r="F10" s="1" t="s">
        <v>120</v>
      </c>
      <c r="G10" t="s">
        <v>15</v>
      </c>
      <c r="H10" t="s">
        <v>16</v>
      </c>
      <c r="I10" t="s">
        <v>4</v>
      </c>
    </row>
    <row r="11" spans="1:9" x14ac:dyDescent="0.2">
      <c r="A11" t="s">
        <v>77</v>
      </c>
      <c r="B11" s="1" t="s">
        <v>9</v>
      </c>
      <c r="C11" s="1" t="s">
        <v>86</v>
      </c>
      <c r="E11" s="1" t="s">
        <v>110</v>
      </c>
      <c r="F11" s="1" t="s">
        <v>120</v>
      </c>
      <c r="G11" t="s">
        <v>15</v>
      </c>
      <c r="H11" t="s">
        <v>16</v>
      </c>
      <c r="I11" t="s">
        <v>4</v>
      </c>
    </row>
    <row r="12" spans="1:9" x14ac:dyDescent="0.2">
      <c r="A12" t="s">
        <v>94</v>
      </c>
      <c r="B12" s="1" t="s">
        <v>21</v>
      </c>
      <c r="C12" s="1" t="s">
        <v>108</v>
      </c>
      <c r="D12" s="1" t="s">
        <v>105</v>
      </c>
      <c r="G12" t="s">
        <v>93</v>
      </c>
      <c r="H12" t="s">
        <v>22</v>
      </c>
      <c r="I12" t="s">
        <v>24</v>
      </c>
    </row>
    <row r="13" spans="1:9" x14ac:dyDescent="0.2">
      <c r="A13" t="s">
        <v>95</v>
      </c>
      <c r="B13" s="1" t="s">
        <v>57</v>
      </c>
      <c r="C13" s="1" t="s">
        <v>88</v>
      </c>
      <c r="G13" t="s">
        <v>55</v>
      </c>
      <c r="H13" t="s">
        <v>56</v>
      </c>
      <c r="I13" t="s">
        <v>58</v>
      </c>
    </row>
    <row r="14" spans="1:9" x14ac:dyDescent="0.2">
      <c r="A14" t="s">
        <v>80</v>
      </c>
      <c r="B14" s="1" t="s">
        <v>9</v>
      </c>
      <c r="D14" s="1" t="s">
        <v>106</v>
      </c>
      <c r="G14" t="s">
        <v>52</v>
      </c>
      <c r="H14" t="s">
        <v>51</v>
      </c>
      <c r="I14" t="s">
        <v>53</v>
      </c>
    </row>
    <row r="15" spans="1:9" x14ac:dyDescent="0.2">
      <c r="A15" t="s">
        <v>80</v>
      </c>
      <c r="B15" s="1" t="s">
        <v>9</v>
      </c>
      <c r="D15" s="1" t="s">
        <v>106</v>
      </c>
      <c r="G15" t="s">
        <v>52</v>
      </c>
      <c r="H15" t="s">
        <v>51</v>
      </c>
      <c r="I15" t="s">
        <v>53</v>
      </c>
    </row>
    <row r="16" spans="1:9" x14ac:dyDescent="0.2">
      <c r="B16" s="1" t="s">
        <v>30</v>
      </c>
      <c r="G16" t="s">
        <v>32</v>
      </c>
      <c r="H16" t="s">
        <v>29</v>
      </c>
      <c r="I16" t="s">
        <v>31</v>
      </c>
    </row>
    <row r="17" spans="1:9" x14ac:dyDescent="0.2">
      <c r="B17" s="1" t="s">
        <v>2</v>
      </c>
      <c r="H17" t="s">
        <v>1</v>
      </c>
      <c r="I17" t="s">
        <v>5</v>
      </c>
    </row>
    <row r="18" spans="1:9" x14ac:dyDescent="0.2">
      <c r="B18" s="1" t="s">
        <v>2</v>
      </c>
      <c r="H18" t="s">
        <v>1</v>
      </c>
      <c r="I18" t="s">
        <v>5</v>
      </c>
    </row>
    <row r="19" spans="1:9" x14ac:dyDescent="0.2">
      <c r="B19" s="1" t="s">
        <v>3</v>
      </c>
      <c r="D19" s="1" t="s">
        <v>105</v>
      </c>
      <c r="G19" t="s">
        <v>92</v>
      </c>
      <c r="H19" t="s">
        <v>73</v>
      </c>
      <c r="I19" t="s">
        <v>20</v>
      </c>
    </row>
    <row r="20" spans="1:9" x14ac:dyDescent="0.2">
      <c r="I20" t="s">
        <v>99</v>
      </c>
    </row>
    <row r="21" spans="1:9" x14ac:dyDescent="0.2">
      <c r="B21" s="1" t="s">
        <v>101</v>
      </c>
    </row>
    <row r="22" spans="1:9" x14ac:dyDescent="0.2">
      <c r="B22" s="1" t="s">
        <v>101</v>
      </c>
    </row>
    <row r="23" spans="1:9" x14ac:dyDescent="0.2">
      <c r="B23" s="1" t="s">
        <v>101</v>
      </c>
    </row>
    <row r="24" spans="1:9" x14ac:dyDescent="0.2">
      <c r="A24" t="s">
        <v>89</v>
      </c>
      <c r="B24" s="1" t="s">
        <v>64</v>
      </c>
      <c r="D24" s="1" t="s">
        <v>117</v>
      </c>
      <c r="E24" s="1" t="s">
        <v>116</v>
      </c>
      <c r="G24" t="s">
        <v>66</v>
      </c>
      <c r="H24" t="s">
        <v>63</v>
      </c>
      <c r="I24" t="s">
        <v>65</v>
      </c>
    </row>
    <row r="25" spans="1:9" x14ac:dyDescent="0.2">
      <c r="A25" t="s">
        <v>80</v>
      </c>
      <c r="B25" s="1" t="s">
        <v>9</v>
      </c>
      <c r="C25" s="1" t="s">
        <v>114</v>
      </c>
      <c r="D25" s="1" t="s">
        <v>106</v>
      </c>
      <c r="G25" t="s">
        <v>52</v>
      </c>
      <c r="H25" t="s">
        <v>51</v>
      </c>
      <c r="I25" t="s">
        <v>53</v>
      </c>
    </row>
    <row r="26" spans="1:9" x14ac:dyDescent="0.2">
      <c r="A26" t="s">
        <v>80</v>
      </c>
      <c r="B26" s="1" t="s">
        <v>9</v>
      </c>
      <c r="C26" s="1" t="s">
        <v>114</v>
      </c>
      <c r="D26" s="1" t="s">
        <v>106</v>
      </c>
      <c r="G26" t="s">
        <v>52</v>
      </c>
      <c r="H26" t="s">
        <v>51</v>
      </c>
      <c r="I26" t="s">
        <v>53</v>
      </c>
    </row>
    <row r="27" spans="1:9" x14ac:dyDescent="0.2">
      <c r="A27" t="s">
        <v>82</v>
      </c>
      <c r="B27" s="1" t="s">
        <v>9</v>
      </c>
      <c r="C27" s="1" t="s">
        <v>109</v>
      </c>
      <c r="E27" s="1" t="s">
        <v>111</v>
      </c>
      <c r="G27" t="s">
        <v>27</v>
      </c>
      <c r="H27" t="s">
        <v>26</v>
      </c>
      <c r="I27" t="s">
        <v>4</v>
      </c>
    </row>
    <row r="28" spans="1:9" x14ac:dyDescent="0.2">
      <c r="A28" t="s">
        <v>82</v>
      </c>
      <c r="B28" s="1" t="s">
        <v>9</v>
      </c>
      <c r="C28" s="1" t="s">
        <v>109</v>
      </c>
      <c r="E28" s="1" t="s">
        <v>111</v>
      </c>
      <c r="G28" t="s">
        <v>27</v>
      </c>
      <c r="H28" t="s">
        <v>26</v>
      </c>
      <c r="I28" t="s">
        <v>4</v>
      </c>
    </row>
    <row r="29" spans="1:9" x14ac:dyDescent="0.2">
      <c r="A29">
        <v>470</v>
      </c>
      <c r="B29" s="1" t="s">
        <v>9</v>
      </c>
      <c r="C29" s="1" t="s">
        <v>109</v>
      </c>
      <c r="E29" s="1" t="s">
        <v>111</v>
      </c>
      <c r="G29" t="s">
        <v>12</v>
      </c>
      <c r="H29" t="s">
        <v>11</v>
      </c>
      <c r="I29" t="s">
        <v>4</v>
      </c>
    </row>
    <row r="30" spans="1:9" x14ac:dyDescent="0.2">
      <c r="A30">
        <v>470</v>
      </c>
      <c r="B30" s="1" t="s">
        <v>9</v>
      </c>
      <c r="C30" s="1" t="s">
        <v>109</v>
      </c>
      <c r="E30" s="1" t="s">
        <v>111</v>
      </c>
      <c r="G30" t="s">
        <v>12</v>
      </c>
      <c r="H30" t="s">
        <v>11</v>
      </c>
      <c r="I30" t="s">
        <v>4</v>
      </c>
    </row>
    <row r="31" spans="1:9" x14ac:dyDescent="0.2">
      <c r="A31" t="s">
        <v>141</v>
      </c>
      <c r="B31" s="1" t="s">
        <v>9</v>
      </c>
      <c r="C31" s="1" t="s">
        <v>109</v>
      </c>
      <c r="E31" s="1" t="s">
        <v>144</v>
      </c>
      <c r="G31" s="1" t="s">
        <v>142</v>
      </c>
      <c r="H31" s="1" t="s">
        <v>143</v>
      </c>
      <c r="I31" s="1" t="s">
        <v>70</v>
      </c>
    </row>
    <row r="32" spans="1:9" x14ac:dyDescent="0.2">
      <c r="A32" t="s">
        <v>83</v>
      </c>
      <c r="B32" s="1" t="s">
        <v>9</v>
      </c>
      <c r="C32" s="1" t="s">
        <v>109</v>
      </c>
      <c r="E32" s="1" t="s">
        <v>111</v>
      </c>
      <c r="G32" t="s">
        <v>68</v>
      </c>
      <c r="H32" t="s">
        <v>69</v>
      </c>
      <c r="I32" t="s">
        <v>4</v>
      </c>
    </row>
    <row r="33" spans="1:10" x14ac:dyDescent="0.2">
      <c r="A33" t="s">
        <v>84</v>
      </c>
      <c r="B33" s="1" t="s">
        <v>9</v>
      </c>
      <c r="C33" s="1" t="s">
        <v>109</v>
      </c>
      <c r="E33" s="1" t="s">
        <v>111</v>
      </c>
      <c r="G33" t="s">
        <v>8</v>
      </c>
      <c r="H33" t="s">
        <v>7</v>
      </c>
      <c r="I33" t="s">
        <v>4</v>
      </c>
    </row>
    <row r="34" spans="1:10" x14ac:dyDescent="0.2">
      <c r="A34" t="s">
        <v>84</v>
      </c>
      <c r="B34" s="1" t="s">
        <v>9</v>
      </c>
      <c r="C34" s="1" t="s">
        <v>109</v>
      </c>
      <c r="E34" s="1" t="s">
        <v>111</v>
      </c>
      <c r="G34" t="s">
        <v>8</v>
      </c>
      <c r="H34" t="s">
        <v>7</v>
      </c>
      <c r="I34" t="s">
        <v>4</v>
      </c>
    </row>
    <row r="35" spans="1:10" x14ac:dyDescent="0.2">
      <c r="A35" t="s">
        <v>115</v>
      </c>
      <c r="B35" s="1" t="s">
        <v>3</v>
      </c>
      <c r="C35" s="1" t="s">
        <v>113</v>
      </c>
      <c r="D35" s="1" t="s">
        <v>107</v>
      </c>
      <c r="G35" t="s">
        <v>91</v>
      </c>
      <c r="H35" t="s">
        <v>90</v>
      </c>
      <c r="I35" t="s">
        <v>72</v>
      </c>
    </row>
    <row r="36" spans="1:10" x14ac:dyDescent="0.2">
      <c r="A36" t="s">
        <v>115</v>
      </c>
      <c r="B36" s="1" t="s">
        <v>3</v>
      </c>
      <c r="C36" s="1" t="s">
        <v>113</v>
      </c>
      <c r="D36" s="1" t="s">
        <v>107</v>
      </c>
      <c r="G36" t="s">
        <v>91</v>
      </c>
      <c r="H36" t="s">
        <v>90</v>
      </c>
      <c r="I36" t="s">
        <v>72</v>
      </c>
    </row>
    <row r="37" spans="1:10" x14ac:dyDescent="0.2">
      <c r="B37" s="1" t="s">
        <v>122</v>
      </c>
      <c r="G37" t="s">
        <v>123</v>
      </c>
      <c r="H37" t="s">
        <v>121</v>
      </c>
      <c r="I37" t="s">
        <v>53</v>
      </c>
    </row>
    <row r="43" spans="1:10" x14ac:dyDescent="0.2">
      <c r="B43"/>
      <c r="D43"/>
      <c r="E43"/>
      <c r="F43"/>
      <c r="J43"/>
    </row>
    <row r="44" spans="1:10" x14ac:dyDescent="0.2">
      <c r="B44"/>
      <c r="D44"/>
      <c r="E44"/>
      <c r="F44"/>
      <c r="J44"/>
    </row>
    <row r="45" spans="1:10" x14ac:dyDescent="0.2">
      <c r="B45"/>
      <c r="D45"/>
      <c r="E45"/>
      <c r="F45"/>
      <c r="J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58BC-B4BE-418B-85C6-046387862024}">
  <sheetPr>
    <tabColor rgb="FFFFC000"/>
  </sheetPr>
  <dimension ref="A1:K50"/>
  <sheetViews>
    <sheetView workbookViewId="0">
      <selection activeCell="D60" sqref="D60"/>
    </sheetView>
  </sheetViews>
  <sheetFormatPr baseColWidth="10" defaultColWidth="9.1640625" defaultRowHeight="15" x14ac:dyDescent="0.2"/>
  <cols>
    <col min="1" max="1" width="9.5" style="1" bestFit="1" customWidth="1"/>
    <col min="2" max="2" width="17.83203125" style="1" bestFit="1" customWidth="1"/>
    <col min="3" max="4" width="19.5" style="1" bestFit="1" customWidth="1"/>
    <col min="5" max="5" width="21.5" style="1" bestFit="1" customWidth="1"/>
    <col min="6" max="6" width="16.83203125" style="1" bestFit="1" customWidth="1"/>
    <col min="7" max="7" width="60.5" style="1" bestFit="1" customWidth="1"/>
    <col min="8" max="8" width="21.5" style="1" bestFit="1" customWidth="1"/>
    <col min="9" max="9" width="19.5" style="1" bestFit="1" customWidth="1"/>
    <col min="10" max="10" width="19.83203125" style="1" bestFit="1" customWidth="1"/>
    <col min="11" max="16384" width="9.1640625" style="1"/>
  </cols>
  <sheetData>
    <row r="1" spans="1:11" x14ac:dyDescent="0.2">
      <c r="A1" s="1" t="s">
        <v>191</v>
      </c>
      <c r="B1" s="1" t="s">
        <v>102</v>
      </c>
      <c r="C1" s="1" t="s">
        <v>103</v>
      </c>
      <c r="D1" s="1" t="s">
        <v>112</v>
      </c>
      <c r="E1" s="1" t="s">
        <v>104</v>
      </c>
      <c r="F1" s="1" t="s">
        <v>118</v>
      </c>
      <c r="G1" s="1" t="s">
        <v>96</v>
      </c>
      <c r="I1" s="1" t="s">
        <v>97</v>
      </c>
      <c r="J1" s="1" t="s">
        <v>100</v>
      </c>
      <c r="K1" s="1" t="s">
        <v>98</v>
      </c>
    </row>
    <row r="2" spans="1:11" x14ac:dyDescent="0.2">
      <c r="A2" s="1" t="s">
        <v>152</v>
      </c>
      <c r="B2" s="1" t="s">
        <v>76</v>
      </c>
      <c r="C2" s="1" t="s">
        <v>87</v>
      </c>
      <c r="E2" s="1">
        <v>0.1</v>
      </c>
      <c r="F2" s="1" t="s">
        <v>119</v>
      </c>
      <c r="G2" s="1" t="s">
        <v>18</v>
      </c>
      <c r="H2" s="1" t="s">
        <v>17</v>
      </c>
      <c r="I2" s="1" t="s">
        <v>19</v>
      </c>
      <c r="J2" s="1" t="s">
        <v>9</v>
      </c>
      <c r="K2" s="1" t="s">
        <v>4</v>
      </c>
    </row>
    <row r="3" spans="1:11" x14ac:dyDescent="0.2">
      <c r="A3" s="1" t="s">
        <v>153</v>
      </c>
      <c r="B3" s="1" t="s">
        <v>78</v>
      </c>
      <c r="C3" s="1" t="s">
        <v>87</v>
      </c>
      <c r="E3" s="1">
        <v>0.1</v>
      </c>
      <c r="F3" s="1" t="s">
        <v>119</v>
      </c>
      <c r="G3" s="1" t="s">
        <v>192</v>
      </c>
      <c r="H3" s="1" t="s">
        <v>61</v>
      </c>
      <c r="I3" s="1" t="s">
        <v>60</v>
      </c>
      <c r="J3" s="1" t="s">
        <v>9</v>
      </c>
      <c r="K3" s="1" t="s">
        <v>4</v>
      </c>
    </row>
    <row r="4" spans="1:11" x14ac:dyDescent="0.2">
      <c r="A4" s="1" t="s">
        <v>154</v>
      </c>
      <c r="B4" s="1" t="s">
        <v>79</v>
      </c>
      <c r="C4" s="1" t="s">
        <v>87</v>
      </c>
      <c r="E4" s="1">
        <v>0.1</v>
      </c>
      <c r="F4" s="1" t="s">
        <v>119</v>
      </c>
      <c r="G4" s="1" t="s">
        <v>36</v>
      </c>
      <c r="H4" s="1" t="s">
        <v>35</v>
      </c>
      <c r="I4" s="1" t="s">
        <v>34</v>
      </c>
      <c r="J4" s="1" t="s">
        <v>9</v>
      </c>
      <c r="K4" s="1" t="s">
        <v>4</v>
      </c>
    </row>
    <row r="5" spans="1:11" x14ac:dyDescent="0.2">
      <c r="A5" s="1" t="s">
        <v>155</v>
      </c>
      <c r="B5" s="1" t="s">
        <v>78</v>
      </c>
      <c r="C5" s="1" t="s">
        <v>87</v>
      </c>
      <c r="E5" s="1">
        <v>0.1</v>
      </c>
      <c r="F5" s="1" t="s">
        <v>119</v>
      </c>
      <c r="G5" s="1" t="s">
        <v>192</v>
      </c>
      <c r="H5" s="1" t="s">
        <v>61</v>
      </c>
      <c r="I5" s="1" t="s">
        <v>60</v>
      </c>
      <c r="J5" s="1" t="s">
        <v>9</v>
      </c>
      <c r="K5" s="1" t="s">
        <v>4</v>
      </c>
    </row>
    <row r="6" spans="1:11" x14ac:dyDescent="0.2">
      <c r="A6" s="1" t="s">
        <v>156</v>
      </c>
      <c r="B6" s="1" t="s">
        <v>77</v>
      </c>
      <c r="C6" s="1" t="s">
        <v>86</v>
      </c>
      <c r="E6" s="1">
        <v>0.1</v>
      </c>
      <c r="F6" s="1" t="s">
        <v>120</v>
      </c>
      <c r="G6" s="1" t="s">
        <v>15</v>
      </c>
      <c r="H6" s="1" t="s">
        <v>14</v>
      </c>
      <c r="I6" s="1" t="s">
        <v>16</v>
      </c>
      <c r="J6" s="1" t="s">
        <v>9</v>
      </c>
      <c r="K6" s="1" t="s">
        <v>4</v>
      </c>
    </row>
    <row r="7" spans="1:11" x14ac:dyDescent="0.2">
      <c r="A7" s="1" t="s">
        <v>157</v>
      </c>
      <c r="B7" s="1" t="s">
        <v>78</v>
      </c>
      <c r="C7" s="1" t="s">
        <v>87</v>
      </c>
      <c r="E7" s="1">
        <v>0.1</v>
      </c>
      <c r="F7" s="1" t="s">
        <v>119</v>
      </c>
      <c r="G7" s="1" t="s">
        <v>192</v>
      </c>
      <c r="H7" s="1" t="s">
        <v>61</v>
      </c>
      <c r="I7" s="1" t="s">
        <v>60</v>
      </c>
      <c r="J7" s="1" t="s">
        <v>9</v>
      </c>
      <c r="K7" s="1" t="s">
        <v>4</v>
      </c>
    </row>
    <row r="8" spans="1:11" x14ac:dyDescent="0.2">
      <c r="A8" s="1" t="s">
        <v>158</v>
      </c>
      <c r="B8" s="1" t="s">
        <v>76</v>
      </c>
      <c r="C8" s="1" t="s">
        <v>87</v>
      </c>
      <c r="E8" s="1">
        <v>0.1</v>
      </c>
      <c r="F8" s="1" t="s">
        <v>119</v>
      </c>
      <c r="G8" s="1" t="s">
        <v>18</v>
      </c>
      <c r="H8" s="1" t="s">
        <v>17</v>
      </c>
      <c r="I8" s="1" t="s">
        <v>19</v>
      </c>
      <c r="J8" s="1" t="s">
        <v>9</v>
      </c>
      <c r="K8" s="1" t="s">
        <v>4</v>
      </c>
    </row>
    <row r="9" spans="1:11" x14ac:dyDescent="0.2">
      <c r="A9" s="1" t="s">
        <v>159</v>
      </c>
      <c r="B9" s="1" t="s">
        <v>76</v>
      </c>
      <c r="C9" s="1" t="s">
        <v>87</v>
      </c>
      <c r="E9" s="1">
        <v>0.1</v>
      </c>
      <c r="F9" s="1" t="s">
        <v>119</v>
      </c>
      <c r="G9" s="1" t="s">
        <v>18</v>
      </c>
      <c r="H9" s="1" t="s">
        <v>17</v>
      </c>
      <c r="I9" s="1" t="s">
        <v>19</v>
      </c>
      <c r="J9" s="1" t="s">
        <v>9</v>
      </c>
      <c r="K9" s="1" t="s">
        <v>4</v>
      </c>
    </row>
    <row r="10" spans="1:11" x14ac:dyDescent="0.2">
      <c r="A10" s="1" t="s">
        <v>160</v>
      </c>
      <c r="B10" s="1" t="s">
        <v>77</v>
      </c>
      <c r="C10" s="1" t="s">
        <v>86</v>
      </c>
      <c r="E10" s="1">
        <v>0.1</v>
      </c>
      <c r="F10" s="1" t="s">
        <v>120</v>
      </c>
      <c r="G10" s="1" t="s">
        <v>15</v>
      </c>
      <c r="H10" s="1" t="s">
        <v>14</v>
      </c>
      <c r="I10" s="1" t="s">
        <v>16</v>
      </c>
      <c r="J10" s="1" t="s">
        <v>9</v>
      </c>
      <c r="K10" s="1" t="s">
        <v>4</v>
      </c>
    </row>
    <row r="11" spans="1:11" x14ac:dyDescent="0.2">
      <c r="A11" s="1" t="s">
        <v>161</v>
      </c>
      <c r="B11" s="1" t="s">
        <v>77</v>
      </c>
      <c r="C11" s="1" t="s">
        <v>86</v>
      </c>
      <c r="E11" s="1">
        <v>0.1</v>
      </c>
      <c r="F11" s="1" t="s">
        <v>120</v>
      </c>
      <c r="G11" s="1" t="s">
        <v>15</v>
      </c>
      <c r="H11" s="1" t="s">
        <v>14</v>
      </c>
      <c r="I11" s="1" t="s">
        <v>16</v>
      </c>
      <c r="J11" s="1" t="s">
        <v>9</v>
      </c>
      <c r="K11" s="1" t="s">
        <v>4</v>
      </c>
    </row>
    <row r="12" spans="1:11" x14ac:dyDescent="0.2">
      <c r="A12" s="1" t="s">
        <v>162</v>
      </c>
      <c r="B12" s="1" t="s">
        <v>94</v>
      </c>
      <c r="C12" s="1" t="s">
        <v>108</v>
      </c>
      <c r="D12" s="1" t="s">
        <v>105</v>
      </c>
      <c r="G12" s="1" t="s">
        <v>93</v>
      </c>
      <c r="H12" s="1" t="s">
        <v>23</v>
      </c>
      <c r="I12" s="1" t="s">
        <v>22</v>
      </c>
      <c r="J12" s="1" t="s">
        <v>21</v>
      </c>
      <c r="K12" s="1" t="s">
        <v>24</v>
      </c>
    </row>
    <row r="13" spans="1:11" x14ac:dyDescent="0.2">
      <c r="A13" s="1" t="s">
        <v>163</v>
      </c>
      <c r="B13" s="1" t="s">
        <v>193</v>
      </c>
      <c r="C13" s="1" t="s">
        <v>88</v>
      </c>
      <c r="D13" s="1" t="s">
        <v>194</v>
      </c>
      <c r="G13" s="1" t="s">
        <v>55</v>
      </c>
      <c r="H13" s="1" t="s">
        <v>54</v>
      </c>
      <c r="I13" s="1" t="s">
        <v>56</v>
      </c>
      <c r="J13" s="1" t="s">
        <v>195</v>
      </c>
      <c r="K13" s="1" t="s">
        <v>58</v>
      </c>
    </row>
    <row r="14" spans="1:11" x14ac:dyDescent="0.2">
      <c r="A14" s="1" t="s">
        <v>164</v>
      </c>
      <c r="B14" s="1" t="s">
        <v>80</v>
      </c>
      <c r="D14" s="1" t="s">
        <v>106</v>
      </c>
      <c r="G14" s="1" t="s">
        <v>52</v>
      </c>
      <c r="H14" s="1" t="s">
        <v>50</v>
      </c>
      <c r="I14" s="1" t="s">
        <v>51</v>
      </c>
      <c r="J14" s="1" t="s">
        <v>9</v>
      </c>
      <c r="K14" s="1" t="s">
        <v>53</v>
      </c>
    </row>
    <row r="15" spans="1:11" x14ac:dyDescent="0.2">
      <c r="A15" s="1" t="s">
        <v>165</v>
      </c>
      <c r="B15" s="1" t="s">
        <v>80</v>
      </c>
      <c r="D15" s="1" t="s">
        <v>106</v>
      </c>
      <c r="G15" s="1" t="s">
        <v>52</v>
      </c>
      <c r="H15" s="1" t="s">
        <v>50</v>
      </c>
      <c r="I15" s="1" t="s">
        <v>51</v>
      </c>
      <c r="J15" s="1" t="s">
        <v>9</v>
      </c>
      <c r="K15" s="1" t="s">
        <v>53</v>
      </c>
    </row>
    <row r="16" spans="1:11" x14ac:dyDescent="0.2">
      <c r="A16" s="1" t="s">
        <v>166</v>
      </c>
      <c r="G16" s="1" t="s">
        <v>32</v>
      </c>
      <c r="H16" s="1" t="s">
        <v>28</v>
      </c>
      <c r="I16" s="1" t="s">
        <v>29</v>
      </c>
      <c r="J16" s="1" t="s">
        <v>30</v>
      </c>
      <c r="K16" s="1" t="s">
        <v>31</v>
      </c>
    </row>
    <row r="17" spans="1:11" x14ac:dyDescent="0.2">
      <c r="A17" s="1" t="s">
        <v>167</v>
      </c>
      <c r="G17" s="1" t="s">
        <v>196</v>
      </c>
      <c r="H17" s="1" t="s">
        <v>0</v>
      </c>
      <c r="I17" s="1" t="s">
        <v>1</v>
      </c>
      <c r="J17" s="1" t="s">
        <v>2</v>
      </c>
      <c r="K17" s="1" t="s">
        <v>5</v>
      </c>
    </row>
    <row r="18" spans="1:11" x14ac:dyDescent="0.2">
      <c r="A18" s="1" t="s">
        <v>168</v>
      </c>
      <c r="G18" s="1" t="s">
        <v>196</v>
      </c>
      <c r="H18" s="1" t="s">
        <v>0</v>
      </c>
      <c r="I18" s="1" t="s">
        <v>1</v>
      </c>
      <c r="J18" s="1" t="s">
        <v>2</v>
      </c>
      <c r="K18" s="1" t="s">
        <v>5</v>
      </c>
    </row>
    <row r="19" spans="1:11" x14ac:dyDescent="0.2">
      <c r="A19" s="1" t="s">
        <v>169</v>
      </c>
      <c r="D19" s="1" t="s">
        <v>105</v>
      </c>
      <c r="G19" s="1" t="s">
        <v>92</v>
      </c>
      <c r="H19" s="1" t="s">
        <v>74</v>
      </c>
      <c r="I19" s="1" t="s">
        <v>73</v>
      </c>
      <c r="J19" s="1" t="s">
        <v>3</v>
      </c>
      <c r="K19" s="1" t="s">
        <v>20</v>
      </c>
    </row>
    <row r="20" spans="1:11" x14ac:dyDescent="0.2">
      <c r="A20" s="1" t="s">
        <v>170</v>
      </c>
      <c r="H20" s="1" t="s">
        <v>197</v>
      </c>
      <c r="K20" s="1" t="s">
        <v>99</v>
      </c>
    </row>
    <row r="21" spans="1:11" x14ac:dyDescent="0.2">
      <c r="A21" s="1" t="s">
        <v>171</v>
      </c>
      <c r="J21" s="1" t="s">
        <v>101</v>
      </c>
    </row>
    <row r="22" spans="1:11" x14ac:dyDescent="0.2">
      <c r="A22" s="1" t="s">
        <v>172</v>
      </c>
      <c r="J22" s="1" t="s">
        <v>101</v>
      </c>
    </row>
    <row r="23" spans="1:11" x14ac:dyDescent="0.2">
      <c r="A23" s="1" t="s">
        <v>173</v>
      </c>
      <c r="J23" s="1" t="s">
        <v>101</v>
      </c>
    </row>
    <row r="24" spans="1:11" x14ac:dyDescent="0.2">
      <c r="A24" s="1" t="s">
        <v>174</v>
      </c>
      <c r="B24" s="1" t="s">
        <v>89</v>
      </c>
      <c r="D24" s="1" t="s">
        <v>117</v>
      </c>
      <c r="E24" s="1">
        <v>0.2</v>
      </c>
      <c r="G24" s="1" t="s">
        <v>66</v>
      </c>
      <c r="H24" s="1" t="s">
        <v>62</v>
      </c>
      <c r="I24" s="1" t="s">
        <v>63</v>
      </c>
      <c r="J24" s="1" t="s">
        <v>64</v>
      </c>
      <c r="K24" s="1" t="s">
        <v>65</v>
      </c>
    </row>
    <row r="25" spans="1:11" x14ac:dyDescent="0.2">
      <c r="A25" s="1" t="s">
        <v>175</v>
      </c>
      <c r="G25" s="1" t="s">
        <v>123</v>
      </c>
      <c r="H25" s="1" t="s">
        <v>81</v>
      </c>
      <c r="I25" s="1" t="s">
        <v>121</v>
      </c>
      <c r="J25" s="1" t="s">
        <v>122</v>
      </c>
      <c r="K25" s="1" t="s">
        <v>53</v>
      </c>
    </row>
    <row r="26" spans="1:11" x14ac:dyDescent="0.2">
      <c r="A26" s="1" t="s">
        <v>176</v>
      </c>
      <c r="G26" s="1" t="s">
        <v>123</v>
      </c>
      <c r="H26" s="1" t="s">
        <v>81</v>
      </c>
      <c r="I26" s="1" t="s">
        <v>121</v>
      </c>
      <c r="J26" s="1" t="s">
        <v>122</v>
      </c>
      <c r="K26" s="1" t="s">
        <v>53</v>
      </c>
    </row>
    <row r="27" spans="1:11" x14ac:dyDescent="0.2">
      <c r="A27" s="1" t="s">
        <v>177</v>
      </c>
      <c r="B27" s="1" t="s">
        <v>82</v>
      </c>
      <c r="C27" s="1" t="s">
        <v>109</v>
      </c>
      <c r="E27" s="1" t="s">
        <v>198</v>
      </c>
      <c r="G27" s="1" t="s">
        <v>27</v>
      </c>
      <c r="H27" s="1" t="s">
        <v>25</v>
      </c>
      <c r="I27" s="1" t="s">
        <v>26</v>
      </c>
      <c r="J27" s="1" t="s">
        <v>9</v>
      </c>
      <c r="K27" s="1" t="s">
        <v>4</v>
      </c>
    </row>
    <row r="28" spans="1:11" x14ac:dyDescent="0.2">
      <c r="A28" s="1" t="s">
        <v>136</v>
      </c>
      <c r="B28" s="1" t="s">
        <v>82</v>
      </c>
      <c r="C28" s="1" t="s">
        <v>109</v>
      </c>
      <c r="E28" s="1" t="s">
        <v>198</v>
      </c>
      <c r="G28" s="1" t="s">
        <v>27</v>
      </c>
      <c r="H28" s="1" t="s">
        <v>25</v>
      </c>
      <c r="I28" s="1" t="s">
        <v>26</v>
      </c>
      <c r="J28" s="1" t="s">
        <v>9</v>
      </c>
      <c r="K28" s="1" t="s">
        <v>4</v>
      </c>
    </row>
    <row r="29" spans="1:11" x14ac:dyDescent="0.2">
      <c r="A29" s="1" t="s">
        <v>178</v>
      </c>
      <c r="B29" s="1">
        <v>470</v>
      </c>
      <c r="C29" s="1" t="s">
        <v>109</v>
      </c>
      <c r="E29" s="1" t="s">
        <v>111</v>
      </c>
      <c r="G29" s="1" t="s">
        <v>12</v>
      </c>
      <c r="H29" s="1" t="s">
        <v>10</v>
      </c>
      <c r="I29" s="1" t="s">
        <v>11</v>
      </c>
      <c r="J29" s="1" t="s">
        <v>9</v>
      </c>
      <c r="K29" s="1" t="s">
        <v>4</v>
      </c>
    </row>
    <row r="30" spans="1:11" x14ac:dyDescent="0.2">
      <c r="A30" s="1" t="s">
        <v>179</v>
      </c>
      <c r="B30" s="1">
        <v>470</v>
      </c>
      <c r="C30" s="1" t="s">
        <v>109</v>
      </c>
      <c r="E30" s="1" t="s">
        <v>111</v>
      </c>
      <c r="G30" s="1" t="s">
        <v>12</v>
      </c>
      <c r="H30" s="1" t="s">
        <v>10</v>
      </c>
      <c r="I30" s="1" t="s">
        <v>11</v>
      </c>
      <c r="J30" s="1" t="s">
        <v>9</v>
      </c>
      <c r="K30" s="1" t="s">
        <v>4</v>
      </c>
    </row>
    <row r="31" spans="1:11" x14ac:dyDescent="0.2">
      <c r="A31" s="1" t="s">
        <v>180</v>
      </c>
      <c r="B31" s="1" t="s">
        <v>141</v>
      </c>
      <c r="C31" s="1" t="s">
        <v>109</v>
      </c>
      <c r="E31" s="1" t="s">
        <v>198</v>
      </c>
      <c r="G31" s="1" t="s">
        <v>199</v>
      </c>
      <c r="H31" s="1" t="s">
        <v>200</v>
      </c>
      <c r="I31" s="1" t="s">
        <v>143</v>
      </c>
      <c r="J31" s="1" t="s">
        <v>9</v>
      </c>
      <c r="K31" s="1" t="s">
        <v>70</v>
      </c>
    </row>
    <row r="32" spans="1:11" x14ac:dyDescent="0.2">
      <c r="A32" s="1" t="s">
        <v>181</v>
      </c>
      <c r="B32" s="1" t="s">
        <v>83</v>
      </c>
      <c r="C32" s="1" t="s">
        <v>109</v>
      </c>
      <c r="E32" s="1" t="s">
        <v>111</v>
      </c>
      <c r="G32" s="1" t="s">
        <v>68</v>
      </c>
      <c r="H32" s="1" t="s">
        <v>67</v>
      </c>
      <c r="I32" s="1" t="s">
        <v>69</v>
      </c>
      <c r="J32" s="1" t="s">
        <v>9</v>
      </c>
      <c r="K32" s="1" t="s">
        <v>4</v>
      </c>
    </row>
    <row r="33" spans="1:11" x14ac:dyDescent="0.2">
      <c r="A33" s="1" t="s">
        <v>182</v>
      </c>
      <c r="B33" s="1" t="s">
        <v>84</v>
      </c>
      <c r="C33" s="1" t="s">
        <v>109</v>
      </c>
      <c r="E33" s="1" t="s">
        <v>111</v>
      </c>
      <c r="G33" s="1" t="s">
        <v>8</v>
      </c>
      <c r="H33" s="1" t="s">
        <v>6</v>
      </c>
      <c r="I33" s="1" t="s">
        <v>7</v>
      </c>
      <c r="J33" s="1" t="s">
        <v>9</v>
      </c>
      <c r="K33" s="1" t="s">
        <v>4</v>
      </c>
    </row>
    <row r="34" spans="1:11" x14ac:dyDescent="0.2">
      <c r="A34" s="1" t="s">
        <v>183</v>
      </c>
      <c r="B34" s="1" t="s">
        <v>84</v>
      </c>
      <c r="C34" s="1" t="s">
        <v>109</v>
      </c>
      <c r="E34" s="1" t="s">
        <v>111</v>
      </c>
      <c r="G34" s="1" t="s">
        <v>8</v>
      </c>
      <c r="H34" s="1" t="s">
        <v>6</v>
      </c>
      <c r="I34" s="1" t="s">
        <v>7</v>
      </c>
      <c r="J34" s="1" t="s">
        <v>9</v>
      </c>
      <c r="K34" s="1" t="s">
        <v>4</v>
      </c>
    </row>
    <row r="35" spans="1:11" x14ac:dyDescent="0.2">
      <c r="A35" s="1" t="s">
        <v>184</v>
      </c>
      <c r="C35" s="1" t="s">
        <v>113</v>
      </c>
      <c r="D35" s="1" t="s">
        <v>107</v>
      </c>
      <c r="G35" s="1" t="s">
        <v>91</v>
      </c>
      <c r="H35" s="1" t="s">
        <v>85</v>
      </c>
      <c r="I35" s="1" t="s">
        <v>90</v>
      </c>
      <c r="J35" s="1" t="s">
        <v>3</v>
      </c>
      <c r="K35" s="1" t="s">
        <v>72</v>
      </c>
    </row>
    <row r="36" spans="1:11" x14ac:dyDescent="0.2">
      <c r="A36" s="1" t="s">
        <v>185</v>
      </c>
      <c r="C36" s="1" t="s">
        <v>113</v>
      </c>
      <c r="D36" s="1" t="s">
        <v>107</v>
      </c>
      <c r="G36" s="1" t="s">
        <v>91</v>
      </c>
      <c r="H36" s="1" t="s">
        <v>85</v>
      </c>
      <c r="I36" s="1" t="s">
        <v>90</v>
      </c>
      <c r="J36" s="1" t="s">
        <v>3</v>
      </c>
      <c r="K36" s="1" t="s">
        <v>72</v>
      </c>
    </row>
    <row r="37" spans="1:11" x14ac:dyDescent="0.2">
      <c r="A37" s="1" t="s">
        <v>186</v>
      </c>
    </row>
    <row r="38" spans="1:11" x14ac:dyDescent="0.2">
      <c r="A38" s="1" t="s">
        <v>187</v>
      </c>
    </row>
    <row r="39" spans="1:11" x14ac:dyDescent="0.2">
      <c r="A39" s="1" t="s">
        <v>188</v>
      </c>
    </row>
    <row r="40" spans="1:11" x14ac:dyDescent="0.2">
      <c r="A40" s="1" t="s">
        <v>189</v>
      </c>
    </row>
    <row r="41" spans="1:11" x14ac:dyDescent="0.2">
      <c r="A41" s="1" t="s">
        <v>190</v>
      </c>
    </row>
    <row r="42" spans="1:11" x14ac:dyDescent="0.2">
      <c r="G42" s="1" t="s">
        <v>202</v>
      </c>
      <c r="H42" s="1" t="s">
        <v>203</v>
      </c>
      <c r="I42" s="1" t="s">
        <v>97</v>
      </c>
    </row>
    <row r="43" spans="1:11" x14ac:dyDescent="0.2">
      <c r="G43" s="1" t="s">
        <v>38</v>
      </c>
      <c r="H43" s="1" t="s">
        <v>23</v>
      </c>
      <c r="I43" s="1" t="s">
        <v>22</v>
      </c>
    </row>
    <row r="44" spans="1:11" x14ac:dyDescent="0.2">
      <c r="G44" s="1" t="s">
        <v>38</v>
      </c>
      <c r="H44" s="1" t="s">
        <v>54</v>
      </c>
      <c r="I44" s="1" t="s">
        <v>56</v>
      </c>
    </row>
    <row r="45" spans="1:11" x14ac:dyDescent="0.2">
      <c r="G45" s="1" t="s">
        <v>33</v>
      </c>
      <c r="H45" s="1" t="s">
        <v>50</v>
      </c>
      <c r="I45" s="1" t="s">
        <v>51</v>
      </c>
    </row>
    <row r="46" spans="1:11" x14ac:dyDescent="0.2">
      <c r="G46" s="1" t="s">
        <v>124</v>
      </c>
      <c r="H46" s="1" t="s">
        <v>50</v>
      </c>
      <c r="I46" s="1" t="s">
        <v>51</v>
      </c>
    </row>
    <row r="47" spans="1:11" x14ac:dyDescent="0.2">
      <c r="G47" s="1" t="s">
        <v>201</v>
      </c>
      <c r="H47" s="1" t="s">
        <v>28</v>
      </c>
      <c r="I47" s="1" t="s">
        <v>29</v>
      </c>
    </row>
    <row r="48" spans="1:11" x14ac:dyDescent="0.2">
      <c r="G48" s="1" t="s">
        <v>124</v>
      </c>
      <c r="H48" s="1" t="s">
        <v>0</v>
      </c>
      <c r="I48" s="1" t="s">
        <v>1</v>
      </c>
    </row>
    <row r="49" spans="7:9" x14ac:dyDescent="0.2">
      <c r="G49" s="1" t="s">
        <v>124</v>
      </c>
      <c r="H49" s="1" t="s">
        <v>81</v>
      </c>
      <c r="I49" s="1" t="s">
        <v>121</v>
      </c>
    </row>
    <row r="50" spans="7:9" x14ac:dyDescent="0.2">
      <c r="G50" s="1" t="s">
        <v>124</v>
      </c>
      <c r="H50" s="1" t="s">
        <v>81</v>
      </c>
      <c r="I50" s="1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985C-EB5D-4210-9C75-08D1418AFCEC}">
  <sheetPr>
    <tabColor theme="8" tint="-0.249977111117893"/>
  </sheetPr>
  <dimension ref="A1:AU32"/>
  <sheetViews>
    <sheetView zoomScale="130" zoomScaleNormal="130" workbookViewId="0">
      <selection activeCell="AE44" sqref="AE44"/>
    </sheetView>
  </sheetViews>
  <sheetFormatPr baseColWidth="10" defaultColWidth="8.83203125" defaultRowHeight="15" x14ac:dyDescent="0.2"/>
  <cols>
    <col min="1" max="1" width="23.33203125" customWidth="1"/>
    <col min="2" max="2" width="30" customWidth="1"/>
    <col min="3" max="3" width="16.5" style="4" customWidth="1"/>
    <col min="6" max="6" width="15.83203125" customWidth="1"/>
    <col min="7" max="8" width="11.5" customWidth="1"/>
    <col min="9" max="9" width="17.6640625" bestFit="1" customWidth="1"/>
    <col min="10" max="10" width="12" bestFit="1" customWidth="1"/>
    <col min="14" max="14" width="14.83203125" bestFit="1" customWidth="1"/>
    <col min="15" max="15" width="21.5" customWidth="1"/>
    <col min="16" max="16" width="14.5" customWidth="1"/>
    <col min="17" max="17" width="11.83203125" customWidth="1"/>
    <col min="20" max="20" width="12.5" customWidth="1"/>
    <col min="21" max="21" width="13.1640625" customWidth="1"/>
    <col min="22" max="22" width="14.1640625" customWidth="1"/>
    <col min="23" max="23" width="13.6640625" customWidth="1"/>
    <col min="26" max="26" width="21.5" bestFit="1" customWidth="1"/>
    <col min="30" max="30" width="17.83203125" bestFit="1" customWidth="1"/>
    <col min="31" max="31" width="17.6640625" bestFit="1" customWidth="1"/>
    <col min="32" max="32" width="18.5" bestFit="1" customWidth="1"/>
    <col min="33" max="33" width="21.6640625" bestFit="1" customWidth="1"/>
    <col min="34" max="34" width="14.33203125" customWidth="1"/>
    <col min="35" max="35" width="13" customWidth="1"/>
    <col min="36" max="36" width="13.33203125" customWidth="1"/>
    <col min="37" max="37" width="15.33203125" customWidth="1"/>
    <col min="41" max="41" width="11.33203125" customWidth="1"/>
    <col min="42" max="42" width="11" customWidth="1"/>
    <col min="43" max="43" width="12.5" customWidth="1"/>
    <col min="44" max="44" width="13.6640625" customWidth="1"/>
    <col min="45" max="45" width="10.33203125" customWidth="1"/>
    <col min="46" max="46" width="11.33203125" customWidth="1"/>
    <col min="47" max="47" width="12.6640625" customWidth="1"/>
  </cols>
  <sheetData>
    <row r="1" spans="1:47" x14ac:dyDescent="0.2">
      <c r="A1" t="s">
        <v>48</v>
      </c>
      <c r="B1" t="s">
        <v>37</v>
      </c>
      <c r="C1" s="4" t="s">
        <v>47</v>
      </c>
      <c r="F1" s="5" t="s">
        <v>28</v>
      </c>
      <c r="N1" s="49" t="s">
        <v>222</v>
      </c>
      <c r="O1" s="49"/>
      <c r="P1" s="49"/>
      <c r="Q1" s="49"/>
      <c r="R1" s="49"/>
      <c r="S1" s="49"/>
      <c r="T1" s="49"/>
      <c r="U1" s="49"/>
      <c r="V1" s="49"/>
      <c r="W1" s="49"/>
      <c r="Y1" s="49" t="s">
        <v>223</v>
      </c>
      <c r="Z1" s="49"/>
      <c r="AA1" s="49"/>
      <c r="AB1" s="49"/>
      <c r="AC1" s="49"/>
      <c r="AD1" s="49"/>
      <c r="AE1" s="49"/>
      <c r="AF1" s="49"/>
      <c r="AG1" s="49"/>
      <c r="AH1" s="49"/>
    </row>
    <row r="2" spans="1:47" ht="17" thickBot="1" x14ac:dyDescent="0.25">
      <c r="A2" s="3" t="s">
        <v>38</v>
      </c>
      <c r="B2" s="1" t="s">
        <v>23</v>
      </c>
      <c r="C2" s="4" t="s">
        <v>39</v>
      </c>
      <c r="N2" s="1" t="s">
        <v>202</v>
      </c>
      <c r="O2" s="1" t="s">
        <v>203</v>
      </c>
      <c r="P2" s="6" t="s">
        <v>204</v>
      </c>
      <c r="Q2" s="6" t="s">
        <v>205</v>
      </c>
      <c r="R2" s="6" t="s">
        <v>206</v>
      </c>
      <c r="S2" s="6"/>
      <c r="Y2" s="1" t="s">
        <v>202</v>
      </c>
      <c r="Z2" s="1" t="s">
        <v>203</v>
      </c>
      <c r="AA2" s="6" t="s">
        <v>204</v>
      </c>
      <c r="AB2" s="6" t="s">
        <v>205</v>
      </c>
      <c r="AC2" s="6" t="s">
        <v>206</v>
      </c>
      <c r="AD2" s="6"/>
    </row>
    <row r="3" spans="1:47" ht="16" thickBot="1" x14ac:dyDescent="0.25">
      <c r="A3">
        <v>5</v>
      </c>
      <c r="B3" t="s">
        <v>40</v>
      </c>
      <c r="C3" s="4">
        <v>0.2</v>
      </c>
      <c r="F3" t="s">
        <v>134</v>
      </c>
      <c r="I3" t="s">
        <v>132</v>
      </c>
      <c r="N3" s="1" t="s">
        <v>208</v>
      </c>
      <c r="O3" s="1" t="s">
        <v>23</v>
      </c>
      <c r="P3" s="4">
        <v>0.01</v>
      </c>
      <c r="Q3" s="4"/>
      <c r="R3" s="4">
        <f>N3*Q3</f>
        <v>0</v>
      </c>
      <c r="T3" s="11" t="s">
        <v>145</v>
      </c>
      <c r="U3" s="12" t="s">
        <v>146</v>
      </c>
      <c r="V3" s="12" t="s">
        <v>147</v>
      </c>
      <c r="W3" s="12" t="s">
        <v>148</v>
      </c>
      <c r="Y3" s="1" t="s">
        <v>208</v>
      </c>
      <c r="Z3" s="1" t="s">
        <v>23</v>
      </c>
      <c r="AA3" s="4">
        <v>0.01</v>
      </c>
      <c r="AB3" s="4"/>
      <c r="AC3" s="4">
        <f>Y3*AB3</f>
        <v>0</v>
      </c>
      <c r="AE3" s="11" t="s">
        <v>145</v>
      </c>
      <c r="AF3" s="12" t="s">
        <v>146</v>
      </c>
      <c r="AG3" s="12" t="s">
        <v>147</v>
      </c>
      <c r="AH3" s="12" t="s">
        <v>148</v>
      </c>
    </row>
    <row r="4" spans="1:47" ht="16" thickBot="1" x14ac:dyDescent="0.25">
      <c r="A4">
        <v>5</v>
      </c>
      <c r="B4" t="s">
        <v>41</v>
      </c>
      <c r="C4" s="4">
        <v>0.05</v>
      </c>
      <c r="F4" t="s">
        <v>135</v>
      </c>
      <c r="G4">
        <v>0.6</v>
      </c>
      <c r="I4" t="s">
        <v>125</v>
      </c>
      <c r="J4" s="2">
        <v>1500000</v>
      </c>
      <c r="N4" s="1" t="s">
        <v>208</v>
      </c>
      <c r="O4" s="1" t="s">
        <v>54</v>
      </c>
      <c r="P4" s="4" t="s">
        <v>39</v>
      </c>
      <c r="Q4" s="4"/>
      <c r="R4" s="4">
        <f>N4*Q4</f>
        <v>0</v>
      </c>
      <c r="T4" s="27" t="s">
        <v>38</v>
      </c>
      <c r="U4" s="10">
        <v>5</v>
      </c>
      <c r="V4" s="10" t="s">
        <v>210</v>
      </c>
      <c r="W4" s="10" t="s">
        <v>221</v>
      </c>
      <c r="Y4" s="1" t="s">
        <v>208</v>
      </c>
      <c r="Z4" s="1" t="s">
        <v>54</v>
      </c>
      <c r="AA4" s="4" t="s">
        <v>39</v>
      </c>
      <c r="AB4" s="4"/>
      <c r="AC4" s="4">
        <f>Y4*AB4</f>
        <v>0</v>
      </c>
      <c r="AE4" s="27" t="s">
        <v>38</v>
      </c>
      <c r="AF4" s="10">
        <v>5</v>
      </c>
      <c r="AG4" s="10" t="s">
        <v>224</v>
      </c>
      <c r="AH4" s="10" t="s">
        <v>225</v>
      </c>
    </row>
    <row r="5" spans="1:47" ht="16" thickBot="1" x14ac:dyDescent="0.25">
      <c r="A5">
        <v>5</v>
      </c>
      <c r="B5" t="s">
        <v>42</v>
      </c>
      <c r="C5" s="4">
        <v>2.5000000000000001E-2</v>
      </c>
      <c r="F5" t="s">
        <v>136</v>
      </c>
      <c r="G5" s="2">
        <v>100000</v>
      </c>
      <c r="I5" t="s">
        <v>71</v>
      </c>
      <c r="J5" s="2">
        <v>2.2000000000000001E-6</v>
      </c>
      <c r="N5" s="1" t="s">
        <v>208</v>
      </c>
      <c r="O5" s="1" t="s">
        <v>42</v>
      </c>
      <c r="P5" s="4">
        <v>0.2</v>
      </c>
      <c r="Q5" s="4">
        <v>0.3</v>
      </c>
      <c r="T5" s="27" t="s">
        <v>149</v>
      </c>
      <c r="U5" s="10">
        <v>5</v>
      </c>
      <c r="V5" s="10" t="s">
        <v>210</v>
      </c>
      <c r="W5" s="10" t="s">
        <v>221</v>
      </c>
      <c r="Y5" s="1" t="s">
        <v>208</v>
      </c>
      <c r="Z5" s="1" t="s">
        <v>42</v>
      </c>
      <c r="AA5" s="4">
        <v>0.2</v>
      </c>
      <c r="AB5" s="4">
        <v>0.3</v>
      </c>
      <c r="AE5" s="27" t="s">
        <v>149</v>
      </c>
      <c r="AF5" s="10">
        <v>5</v>
      </c>
      <c r="AG5" s="10" t="s">
        <v>224</v>
      </c>
      <c r="AH5" s="10" t="s">
        <v>225</v>
      </c>
      <c r="AJ5" s="56" t="s">
        <v>226</v>
      </c>
      <c r="AK5" s="57"/>
      <c r="AM5" t="s">
        <v>233</v>
      </c>
      <c r="AN5">
        <f>AK11/AK7</f>
        <v>0.60382978723404246</v>
      </c>
    </row>
    <row r="6" spans="1:47" ht="16" thickBot="1" x14ac:dyDescent="0.25">
      <c r="A6">
        <v>5</v>
      </c>
      <c r="B6" t="s">
        <v>43</v>
      </c>
      <c r="C6" s="4">
        <v>0.1</v>
      </c>
      <c r="F6" t="s">
        <v>127</v>
      </c>
      <c r="G6">
        <v>3.3</v>
      </c>
      <c r="I6" t="s">
        <v>126</v>
      </c>
      <c r="J6">
        <v>5</v>
      </c>
      <c r="N6" s="1" t="s">
        <v>208</v>
      </c>
      <c r="O6" s="1" t="s">
        <v>50</v>
      </c>
      <c r="P6" s="4">
        <v>0.02</v>
      </c>
      <c r="Q6" s="4">
        <v>0.02</v>
      </c>
      <c r="R6" s="4">
        <f>N6*Q6</f>
        <v>0.1</v>
      </c>
      <c r="T6" s="27" t="s">
        <v>150</v>
      </c>
      <c r="U6" s="10" t="s">
        <v>151</v>
      </c>
      <c r="V6" s="10" t="s">
        <v>209</v>
      </c>
      <c r="W6" s="10" t="s">
        <v>210</v>
      </c>
      <c r="Y6" s="1" t="s">
        <v>208</v>
      </c>
      <c r="Z6" s="1" t="s">
        <v>50</v>
      </c>
      <c r="AA6" s="4">
        <v>0.02</v>
      </c>
      <c r="AB6" s="4">
        <v>0.02</v>
      </c>
      <c r="AC6" s="4">
        <f>Y6*AB6</f>
        <v>0.1</v>
      </c>
      <c r="AE6" s="27" t="s">
        <v>150</v>
      </c>
      <c r="AF6" s="10" t="s">
        <v>151</v>
      </c>
      <c r="AG6" s="10" t="s">
        <v>209</v>
      </c>
      <c r="AH6" s="10" t="s">
        <v>210</v>
      </c>
      <c r="AJ6" s="28" t="s">
        <v>227</v>
      </c>
      <c r="AK6" s="29" t="s">
        <v>13</v>
      </c>
    </row>
    <row r="7" spans="1:47" ht="16" thickBot="1" x14ac:dyDescent="0.25">
      <c r="A7">
        <v>5</v>
      </c>
      <c r="B7" t="s">
        <v>44</v>
      </c>
      <c r="C7" s="4">
        <v>0.05</v>
      </c>
      <c r="I7" t="s">
        <v>127</v>
      </c>
      <c r="J7">
        <v>3.3180000000000001</v>
      </c>
      <c r="N7" s="1" t="s">
        <v>208</v>
      </c>
      <c r="O7" s="1" t="s">
        <v>28</v>
      </c>
      <c r="P7" s="4">
        <v>0.64000000000000012</v>
      </c>
      <c r="Q7" s="4">
        <v>0.86</v>
      </c>
      <c r="R7" s="4">
        <f>N7*Q7</f>
        <v>4.3</v>
      </c>
      <c r="Y7" s="1" t="s">
        <v>208</v>
      </c>
      <c r="Z7" s="1" t="s">
        <v>28</v>
      </c>
      <c r="AA7" s="4">
        <v>0.44900000000000001</v>
      </c>
      <c r="AB7" s="4">
        <v>0.6</v>
      </c>
      <c r="AC7" s="4">
        <f>Y7*AB7</f>
        <v>3</v>
      </c>
      <c r="AJ7" s="9" t="s">
        <v>228</v>
      </c>
      <c r="AK7" s="30">
        <f>AF5</f>
        <v>5</v>
      </c>
    </row>
    <row r="8" spans="1:47" ht="16" thickBot="1" x14ac:dyDescent="0.25">
      <c r="A8">
        <v>5</v>
      </c>
      <c r="B8" t="s">
        <v>46</v>
      </c>
      <c r="C8" s="4">
        <v>0.15</v>
      </c>
      <c r="I8" t="s">
        <v>128</v>
      </c>
      <c r="J8">
        <v>1.3</v>
      </c>
      <c r="P8" s="4">
        <f>SUM(P5:P7)</f>
        <v>0.8600000000000001</v>
      </c>
      <c r="Q8" s="4">
        <f>SUM(Q5:Q7)</f>
        <v>1.18</v>
      </c>
      <c r="AA8" s="4">
        <f>SUM(AA5:AA7)</f>
        <v>0.66900000000000004</v>
      </c>
      <c r="AB8" s="4">
        <f>SUM(AB5:AB7)</f>
        <v>0.91999999999999993</v>
      </c>
      <c r="AJ8" s="9" t="s">
        <v>229</v>
      </c>
      <c r="AK8" s="30">
        <v>3.3</v>
      </c>
    </row>
    <row r="9" spans="1:47" ht="16" thickBot="1" x14ac:dyDescent="0.25">
      <c r="A9">
        <v>5</v>
      </c>
      <c r="B9" t="s">
        <v>49</v>
      </c>
      <c r="C9" s="4">
        <v>0.06</v>
      </c>
      <c r="AJ9" s="9" t="s">
        <v>230</v>
      </c>
      <c r="AK9" s="30">
        <v>0.86</v>
      </c>
    </row>
    <row r="10" spans="1:47" ht="16" thickBot="1" x14ac:dyDescent="0.25">
      <c r="A10">
        <v>5</v>
      </c>
      <c r="B10" s="1" t="s">
        <v>50</v>
      </c>
      <c r="C10" s="4">
        <v>0.02</v>
      </c>
      <c r="F10" t="s">
        <v>137</v>
      </c>
      <c r="G10">
        <f>G5*((G6/G4)-1)</f>
        <v>450000</v>
      </c>
      <c r="N10" s="1" t="s">
        <v>207</v>
      </c>
      <c r="O10" s="1" t="s">
        <v>50</v>
      </c>
      <c r="P10" s="4">
        <v>0.02</v>
      </c>
      <c r="Q10" s="4">
        <v>0.02</v>
      </c>
      <c r="R10" s="4">
        <f>N10*Q10</f>
        <v>6.6000000000000003E-2</v>
      </c>
      <c r="Y10" s="1" t="s">
        <v>207</v>
      </c>
      <c r="Z10" s="1" t="s">
        <v>50</v>
      </c>
      <c r="AA10" s="4">
        <v>0.02</v>
      </c>
      <c r="AB10" s="4">
        <v>0.02</v>
      </c>
      <c r="AC10" s="4">
        <f>Y10*AB10</f>
        <v>6.6000000000000003E-2</v>
      </c>
      <c r="AJ10" s="9" t="s">
        <v>231</v>
      </c>
      <c r="AK10" s="33">
        <v>0.94</v>
      </c>
    </row>
    <row r="11" spans="1:47" ht="16" thickBot="1" x14ac:dyDescent="0.25">
      <c r="A11">
        <v>3.3</v>
      </c>
      <c r="B11" s="1" t="s">
        <v>0</v>
      </c>
      <c r="C11" s="4">
        <v>0.5</v>
      </c>
      <c r="I11" t="s">
        <v>130</v>
      </c>
      <c r="J11">
        <f>J7*(J6-J7)</f>
        <v>5.5808759999999999</v>
      </c>
      <c r="N11" s="1" t="s">
        <v>207</v>
      </c>
      <c r="O11" s="1" t="s">
        <v>0</v>
      </c>
      <c r="P11" s="4">
        <v>0.5</v>
      </c>
      <c r="Q11" s="4">
        <v>0.6</v>
      </c>
      <c r="R11" s="4">
        <f>N11*Q11</f>
        <v>1.9799999999999998</v>
      </c>
      <c r="Y11" s="1" t="s">
        <v>207</v>
      </c>
      <c r="Z11" s="1" t="s">
        <v>0</v>
      </c>
      <c r="AA11" s="4">
        <v>0.5</v>
      </c>
      <c r="AB11" s="4">
        <v>0.6</v>
      </c>
      <c r="AC11" s="4">
        <f>Y11*AB11</f>
        <v>1.9799999999999998</v>
      </c>
      <c r="AJ11" s="9" t="s">
        <v>232</v>
      </c>
      <c r="AK11" s="30">
        <f>(AK8*AK9)/AK10</f>
        <v>3.0191489361702124</v>
      </c>
    </row>
    <row r="12" spans="1:47" ht="16" thickBot="1" x14ac:dyDescent="0.25">
      <c r="A12">
        <v>3.3</v>
      </c>
      <c r="B12" t="s">
        <v>45</v>
      </c>
      <c r="C12" s="4">
        <v>0.15</v>
      </c>
      <c r="F12" t="s">
        <v>138</v>
      </c>
      <c r="I12" t="s">
        <v>131</v>
      </c>
      <c r="J12" s="2">
        <f>J6*J4*J5</f>
        <v>16.5</v>
      </c>
      <c r="N12" s="1" t="s">
        <v>207</v>
      </c>
      <c r="O12" s="1" t="s">
        <v>81</v>
      </c>
      <c r="P12" s="4">
        <v>0.06</v>
      </c>
      <c r="Q12" s="4">
        <v>0.12</v>
      </c>
      <c r="R12" s="4">
        <f>N12*Q12</f>
        <v>0.39599999999999996</v>
      </c>
      <c r="Y12" s="1" t="s">
        <v>207</v>
      </c>
      <c r="Z12" s="1" t="s">
        <v>81</v>
      </c>
      <c r="AA12" s="4">
        <v>0.06</v>
      </c>
      <c r="AB12" s="4">
        <v>0.12</v>
      </c>
      <c r="AC12" s="4">
        <f>Y12*AB12</f>
        <v>0.39599999999999996</v>
      </c>
    </row>
    <row r="13" spans="1:47" ht="17" thickTop="1" thickBot="1" x14ac:dyDescent="0.25">
      <c r="B13" s="1" t="s">
        <v>28</v>
      </c>
      <c r="F13" t="s">
        <v>139</v>
      </c>
      <c r="G13" s="2">
        <v>453000</v>
      </c>
      <c r="I13" t="s">
        <v>129</v>
      </c>
      <c r="J13">
        <f>J11/J12</f>
        <v>0.33823490909090909</v>
      </c>
      <c r="N13" s="1" t="s">
        <v>207</v>
      </c>
      <c r="O13" s="1" t="s">
        <v>81</v>
      </c>
      <c r="P13" s="4">
        <v>0.06</v>
      </c>
      <c r="Q13" s="4">
        <v>0.12</v>
      </c>
      <c r="R13" s="4">
        <f>N13*Q13</f>
        <v>0.39599999999999996</v>
      </c>
      <c r="Y13" s="1" t="s">
        <v>207</v>
      </c>
      <c r="Z13" s="1" t="s">
        <v>81</v>
      </c>
      <c r="AA13" s="4">
        <v>0.06</v>
      </c>
      <c r="AB13" s="4">
        <v>0.12</v>
      </c>
      <c r="AC13" s="4">
        <f>Y13*AB13</f>
        <v>0.39599999999999996</v>
      </c>
      <c r="AE13" s="53" t="s">
        <v>211</v>
      </c>
      <c r="AF13" s="54"/>
      <c r="AG13" s="54"/>
      <c r="AH13" s="54"/>
      <c r="AI13" s="54"/>
      <c r="AJ13" s="54"/>
      <c r="AK13" s="55"/>
      <c r="AO13" s="53" t="s">
        <v>211</v>
      </c>
      <c r="AP13" s="54"/>
      <c r="AQ13" s="54"/>
      <c r="AR13" s="54"/>
      <c r="AS13" s="54"/>
      <c r="AT13" s="54"/>
      <c r="AU13" s="55"/>
    </row>
    <row r="14" spans="1:47" ht="16" thickBot="1" x14ac:dyDescent="0.25">
      <c r="P14" s="4">
        <f>SUM(P10:P13)</f>
        <v>0.64000000000000012</v>
      </c>
      <c r="Q14" s="4">
        <f>SUM(Q10:Q13)</f>
        <v>0.86</v>
      </c>
      <c r="R14" s="4"/>
      <c r="AA14" s="4">
        <f>SUM(AA10:AA13)</f>
        <v>0.64000000000000012</v>
      </c>
      <c r="AB14" s="4">
        <f>SUM(AB10:AB13)</f>
        <v>0.86</v>
      </c>
      <c r="AC14" s="4"/>
      <c r="AE14" s="50" t="s">
        <v>75</v>
      </c>
      <c r="AF14" s="51"/>
      <c r="AG14" s="58"/>
      <c r="AH14" s="13"/>
      <c r="AI14" s="50" t="s">
        <v>212</v>
      </c>
      <c r="AJ14" s="51"/>
      <c r="AK14" s="52"/>
      <c r="AO14" s="50" t="s">
        <v>75</v>
      </c>
      <c r="AP14" s="51"/>
      <c r="AQ14" s="58"/>
      <c r="AR14" s="13"/>
      <c r="AS14" s="50" t="s">
        <v>212</v>
      </c>
      <c r="AT14" s="51"/>
      <c r="AU14" s="52"/>
    </row>
    <row r="15" spans="1:47" ht="30.75" customHeight="1" thickBot="1" x14ac:dyDescent="0.25">
      <c r="I15" t="s">
        <v>133</v>
      </c>
      <c r="AE15" s="21" t="s">
        <v>213</v>
      </c>
      <c r="AF15" s="22" t="s">
        <v>214</v>
      </c>
      <c r="AG15" s="22" t="s">
        <v>215</v>
      </c>
      <c r="AH15" s="8" t="s">
        <v>216</v>
      </c>
      <c r="AI15" s="23" t="s">
        <v>217</v>
      </c>
      <c r="AJ15" s="24" t="s">
        <v>218</v>
      </c>
      <c r="AK15" s="25" t="s">
        <v>219</v>
      </c>
      <c r="AO15" s="21" t="s">
        <v>213</v>
      </c>
      <c r="AP15" s="22" t="s">
        <v>214</v>
      </c>
      <c r="AQ15" s="22" t="s">
        <v>215</v>
      </c>
      <c r="AR15" s="8" t="s">
        <v>216</v>
      </c>
      <c r="AS15" s="23" t="s">
        <v>217</v>
      </c>
      <c r="AT15" s="24" t="s">
        <v>218</v>
      </c>
      <c r="AU15" s="25" t="s">
        <v>219</v>
      </c>
    </row>
    <row r="16" spans="1:47" ht="17" thickTop="1" thickBot="1" x14ac:dyDescent="0.25">
      <c r="I16" t="s">
        <v>128</v>
      </c>
      <c r="J16">
        <v>1.3</v>
      </c>
      <c r="AE16" s="14">
        <v>3.3</v>
      </c>
      <c r="AF16" s="15">
        <v>0.64</v>
      </c>
      <c r="AG16" s="16">
        <f>AE16*AF16</f>
        <v>2.1120000000000001</v>
      </c>
      <c r="AH16" s="17">
        <v>0.94</v>
      </c>
      <c r="AI16" s="18">
        <v>5</v>
      </c>
      <c r="AJ16" s="19">
        <f>AG16/AH16</f>
        <v>2.246808510638298</v>
      </c>
      <c r="AK16" s="20">
        <f>AJ16/AI16</f>
        <v>0.44936170212765958</v>
      </c>
      <c r="AO16" s="14">
        <v>3.3</v>
      </c>
      <c r="AP16" s="15">
        <v>0.64</v>
      </c>
      <c r="AQ16" s="16">
        <f>AO16*AP16</f>
        <v>2.1120000000000001</v>
      </c>
      <c r="AR16" s="17">
        <v>0.94</v>
      </c>
      <c r="AS16" s="18">
        <v>5</v>
      </c>
      <c r="AT16" s="19">
        <f>AQ16/AR16</f>
        <v>2.246808510638298</v>
      </c>
      <c r="AU16" s="20">
        <f>AT16/AS16</f>
        <v>0.44936170212765958</v>
      </c>
    </row>
    <row r="17" spans="6:47" ht="16" thickTop="1" x14ac:dyDescent="0.2">
      <c r="F17" t="s">
        <v>140</v>
      </c>
      <c r="G17">
        <f>G4*(1+(G13/G5))</f>
        <v>3.3180000000000001</v>
      </c>
    </row>
    <row r="18" spans="6:47" ht="16" thickBot="1" x14ac:dyDescent="0.25"/>
    <row r="19" spans="6:47" ht="17" thickTop="1" thickBot="1" x14ac:dyDescent="0.25">
      <c r="I19" t="s">
        <v>129</v>
      </c>
      <c r="J19">
        <f>J8-(J13/2)</f>
        <v>1.1308825454545455</v>
      </c>
      <c r="AE19" s="53" t="s">
        <v>220</v>
      </c>
      <c r="AF19" s="54"/>
      <c r="AG19" s="54"/>
      <c r="AH19" s="54"/>
      <c r="AI19" s="54"/>
      <c r="AJ19" s="54"/>
      <c r="AK19" s="55"/>
      <c r="AO19" s="53" t="s">
        <v>220</v>
      </c>
      <c r="AP19" s="54"/>
      <c r="AQ19" s="54"/>
      <c r="AR19" s="54"/>
      <c r="AS19" s="54"/>
      <c r="AT19" s="54"/>
      <c r="AU19" s="55"/>
    </row>
    <row r="20" spans="6:47" ht="16" thickBot="1" x14ac:dyDescent="0.25">
      <c r="G20" s="2"/>
      <c r="H20" s="2"/>
      <c r="AE20" s="50" t="s">
        <v>75</v>
      </c>
      <c r="AF20" s="51"/>
      <c r="AG20" s="58"/>
      <c r="AH20" s="7"/>
      <c r="AI20" s="50" t="s">
        <v>212</v>
      </c>
      <c r="AJ20" s="51"/>
      <c r="AK20" s="52"/>
      <c r="AO20" s="50" t="s">
        <v>75</v>
      </c>
      <c r="AP20" s="51"/>
      <c r="AQ20" s="58"/>
      <c r="AR20" s="7"/>
      <c r="AS20" s="50" t="s">
        <v>212</v>
      </c>
      <c r="AT20" s="51"/>
      <c r="AU20" s="52"/>
    </row>
    <row r="21" spans="6:47" ht="29" thickBot="1" x14ac:dyDescent="0.25">
      <c r="AE21" s="31" t="s">
        <v>213</v>
      </c>
      <c r="AF21" s="32" t="s">
        <v>214</v>
      </c>
      <c r="AG21" s="32" t="s">
        <v>215</v>
      </c>
      <c r="AH21" s="8" t="s">
        <v>216</v>
      </c>
      <c r="AI21" s="23" t="s">
        <v>217</v>
      </c>
      <c r="AJ21" s="24" t="s">
        <v>218</v>
      </c>
      <c r="AK21" s="26" t="s">
        <v>219</v>
      </c>
      <c r="AO21" s="31" t="s">
        <v>213</v>
      </c>
      <c r="AP21" s="32" t="s">
        <v>214</v>
      </c>
      <c r="AQ21" s="32" t="s">
        <v>215</v>
      </c>
      <c r="AR21" s="8" t="s">
        <v>216</v>
      </c>
      <c r="AS21" s="23" t="s">
        <v>217</v>
      </c>
      <c r="AT21" s="24" t="s">
        <v>218</v>
      </c>
      <c r="AU21" s="26" t="s">
        <v>219</v>
      </c>
    </row>
    <row r="22" spans="6:47" ht="17" thickTop="1" thickBot="1" x14ac:dyDescent="0.25">
      <c r="AE22" s="14">
        <v>3.3</v>
      </c>
      <c r="AF22" s="15">
        <v>0.86</v>
      </c>
      <c r="AG22" s="16">
        <f>AE22*AF22</f>
        <v>2.8379999999999996</v>
      </c>
      <c r="AH22" s="17">
        <v>0.94</v>
      </c>
      <c r="AI22" s="18">
        <v>5</v>
      </c>
      <c r="AJ22" s="19">
        <f>AG22/AH22</f>
        <v>3.0191489361702124</v>
      </c>
      <c r="AK22" s="20">
        <f>AJ22/AI22</f>
        <v>0.60382978723404246</v>
      </c>
      <c r="AO22" s="14">
        <v>3.3</v>
      </c>
      <c r="AP22" s="15">
        <v>0.86</v>
      </c>
      <c r="AQ22" s="16">
        <f>AO22*AP22</f>
        <v>2.8379999999999996</v>
      </c>
      <c r="AR22" s="17">
        <v>0.94</v>
      </c>
      <c r="AS22" s="18">
        <v>5</v>
      </c>
      <c r="AT22" s="19">
        <f>AQ22/AR22</f>
        <v>3.0191489361702124</v>
      </c>
      <c r="AU22" s="20">
        <f>AT22/AS22</f>
        <v>0.60382978723404246</v>
      </c>
    </row>
    <row r="23" spans="6:47" ht="16" thickTop="1" x14ac:dyDescent="0.2"/>
    <row r="25" spans="6:47" ht="16" thickBot="1" x14ac:dyDescent="0.25"/>
    <row r="26" spans="6:47" x14ac:dyDescent="0.2">
      <c r="AE26" s="56" t="s">
        <v>226</v>
      </c>
      <c r="AF26" s="57"/>
    </row>
    <row r="27" spans="6:47" ht="16" thickBot="1" x14ac:dyDescent="0.25">
      <c r="AE27" s="28" t="s">
        <v>227</v>
      </c>
      <c r="AF27" s="29" t="s">
        <v>13</v>
      </c>
    </row>
    <row r="28" spans="6:47" ht="16" thickBot="1" x14ac:dyDescent="0.25">
      <c r="AE28" s="9" t="s">
        <v>228</v>
      </c>
      <c r="AF28" s="10" t="s">
        <v>149</v>
      </c>
    </row>
    <row r="29" spans="6:47" ht="16" thickBot="1" x14ac:dyDescent="0.25">
      <c r="AE29" s="9" t="s">
        <v>229</v>
      </c>
      <c r="AF29" s="10" t="s">
        <v>150</v>
      </c>
    </row>
    <row r="30" spans="6:47" ht="16" thickBot="1" x14ac:dyDescent="0.25">
      <c r="AE30" s="9" t="s">
        <v>230</v>
      </c>
      <c r="AF30" s="10" t="s">
        <v>210</v>
      </c>
    </row>
    <row r="31" spans="6:47" ht="16" thickBot="1" x14ac:dyDescent="0.25">
      <c r="AE31" s="9" t="s">
        <v>231</v>
      </c>
      <c r="AF31" s="10" t="s">
        <v>234</v>
      </c>
    </row>
    <row r="32" spans="6:47" ht="16" thickBot="1" x14ac:dyDescent="0.25">
      <c r="AE32" s="9" t="s">
        <v>232</v>
      </c>
      <c r="AF32" s="10" t="e">
        <f>(AF29*AF30)/AF31</f>
        <v>#VALUE!</v>
      </c>
    </row>
  </sheetData>
  <autoFilter ref="A1:C1" xr:uid="{7F98985C-EB5D-4210-9C75-08D1418AFCEC}">
    <sortState xmlns:xlrd2="http://schemas.microsoft.com/office/spreadsheetml/2017/richdata2" ref="A2:C13">
      <sortCondition descending="1" ref="A1"/>
    </sortState>
  </autoFilter>
  <mergeCells count="16">
    <mergeCell ref="AE26:AF26"/>
    <mergeCell ref="AO13:AU13"/>
    <mergeCell ref="AO14:AQ14"/>
    <mergeCell ref="AS14:AU14"/>
    <mergeCell ref="AO19:AU19"/>
    <mergeCell ref="AO20:AQ20"/>
    <mergeCell ref="AS20:AU20"/>
    <mergeCell ref="N1:W1"/>
    <mergeCell ref="Y1:AH1"/>
    <mergeCell ref="AI14:AK14"/>
    <mergeCell ref="AI20:AK20"/>
    <mergeCell ref="AE13:AK13"/>
    <mergeCell ref="AE19:AK19"/>
    <mergeCell ref="AJ5:AK5"/>
    <mergeCell ref="AE20:AG20"/>
    <mergeCell ref="AE14:AG14"/>
  </mergeCells>
  <phoneticPr fontId="2" type="noConversion"/>
  <conditionalFormatting sqref="AE14">
    <cfRule type="cellIs" dxfId="87" priority="65" operator="equal">
      <formula>"--"</formula>
    </cfRule>
    <cfRule type="cellIs" dxfId="86" priority="66" operator="equal">
      <formula>"-"</formula>
    </cfRule>
    <cfRule type="cellIs" dxfId="85" priority="67" operator="equal">
      <formula>"+"</formula>
    </cfRule>
    <cfRule type="cellIs" dxfId="84" priority="68" operator="equal">
      <formula>"++"</formula>
    </cfRule>
  </conditionalFormatting>
  <conditionalFormatting sqref="AE20">
    <cfRule type="cellIs" dxfId="83" priority="89" operator="equal">
      <formula>"--"</formula>
    </cfRule>
    <cfRule type="cellIs" dxfId="82" priority="90" operator="equal">
      <formula>"-"</formula>
    </cfRule>
    <cfRule type="cellIs" dxfId="81" priority="91" operator="equal">
      <formula>"+"</formula>
    </cfRule>
    <cfRule type="cellIs" dxfId="80" priority="92" operator="equal">
      <formula>"++"</formula>
    </cfRule>
  </conditionalFormatting>
  <conditionalFormatting sqref="AE26:AF26">
    <cfRule type="cellIs" dxfId="79" priority="41" operator="equal">
      <formula>"--"</formula>
    </cfRule>
    <cfRule type="cellIs" dxfId="78" priority="42" operator="equal">
      <formula>"-"</formula>
    </cfRule>
    <cfRule type="cellIs" dxfId="77" priority="43" operator="equal">
      <formula>"+"</formula>
    </cfRule>
    <cfRule type="cellIs" dxfId="76" priority="44" operator="equal">
      <formula>"++"</formula>
    </cfRule>
  </conditionalFormatting>
  <conditionalFormatting sqref="AE15:AG15">
    <cfRule type="cellIs" dxfId="75" priority="61" operator="equal">
      <formula>"--"</formula>
    </cfRule>
    <cfRule type="cellIs" dxfId="74" priority="62" operator="equal">
      <formula>"-"</formula>
    </cfRule>
    <cfRule type="cellIs" dxfId="73" priority="63" operator="equal">
      <formula>"+"</formula>
    </cfRule>
    <cfRule type="cellIs" dxfId="72" priority="64" operator="equal">
      <formula>"++"</formula>
    </cfRule>
  </conditionalFormatting>
  <conditionalFormatting sqref="AE21:AG21">
    <cfRule type="cellIs" dxfId="71" priority="81" operator="equal">
      <formula>"--"</formula>
    </cfRule>
    <cfRule type="cellIs" dxfId="70" priority="82" operator="equal">
      <formula>"-"</formula>
    </cfRule>
    <cfRule type="cellIs" dxfId="69" priority="83" operator="equal">
      <formula>"+"</formula>
    </cfRule>
    <cfRule type="cellIs" dxfId="68" priority="84" operator="equal">
      <formula>"++"</formula>
    </cfRule>
  </conditionalFormatting>
  <conditionalFormatting sqref="AE13:AK13">
    <cfRule type="cellIs" dxfId="67" priority="113" operator="equal">
      <formula>"--"</formula>
    </cfRule>
    <cfRule type="cellIs" dxfId="66" priority="114" operator="equal">
      <formula>"-"</formula>
    </cfRule>
    <cfRule type="cellIs" dxfId="65" priority="115" operator="equal">
      <formula>"+"</formula>
    </cfRule>
    <cfRule type="cellIs" dxfId="64" priority="116" operator="equal">
      <formula>"++"</formula>
    </cfRule>
  </conditionalFormatting>
  <conditionalFormatting sqref="AE19:AK19">
    <cfRule type="cellIs" dxfId="63" priority="93" operator="equal">
      <formula>"--"</formula>
    </cfRule>
    <cfRule type="cellIs" dxfId="62" priority="94" operator="equal">
      <formula>"-"</formula>
    </cfRule>
    <cfRule type="cellIs" dxfId="61" priority="95" operator="equal">
      <formula>"+"</formula>
    </cfRule>
    <cfRule type="cellIs" dxfId="60" priority="96" operator="equal">
      <formula>"++"</formula>
    </cfRule>
  </conditionalFormatting>
  <conditionalFormatting sqref="AI14">
    <cfRule type="cellIs" dxfId="59" priority="53" operator="equal">
      <formula>"--"</formula>
    </cfRule>
    <cfRule type="cellIs" dxfId="58" priority="54" operator="equal">
      <formula>"-"</formula>
    </cfRule>
    <cfRule type="cellIs" dxfId="57" priority="55" operator="equal">
      <formula>"+"</formula>
    </cfRule>
    <cfRule type="cellIs" dxfId="56" priority="56" operator="equal">
      <formula>"++"</formula>
    </cfRule>
  </conditionalFormatting>
  <conditionalFormatting sqref="AI20">
    <cfRule type="cellIs" dxfId="55" priority="73" operator="equal">
      <formula>"--"</formula>
    </cfRule>
    <cfRule type="cellIs" dxfId="54" priority="74" operator="equal">
      <formula>"-"</formula>
    </cfRule>
    <cfRule type="cellIs" dxfId="53" priority="75" operator="equal">
      <formula>"+"</formula>
    </cfRule>
    <cfRule type="cellIs" dxfId="52" priority="76" operator="equal">
      <formula>"++"</formula>
    </cfRule>
  </conditionalFormatting>
  <conditionalFormatting sqref="AI15:AK15">
    <cfRule type="cellIs" dxfId="51" priority="49" operator="equal">
      <formula>"--"</formula>
    </cfRule>
    <cfRule type="cellIs" dxfId="50" priority="50" operator="equal">
      <formula>"-"</formula>
    </cfRule>
    <cfRule type="cellIs" dxfId="49" priority="51" operator="equal">
      <formula>"+"</formula>
    </cfRule>
    <cfRule type="cellIs" dxfId="48" priority="52" operator="equal">
      <formula>"++"</formula>
    </cfRule>
  </conditionalFormatting>
  <conditionalFormatting sqref="AI21:AK21">
    <cfRule type="cellIs" dxfId="47" priority="57" operator="equal">
      <formula>"--"</formula>
    </cfRule>
    <cfRule type="cellIs" dxfId="46" priority="58" operator="equal">
      <formula>"-"</formula>
    </cfRule>
    <cfRule type="cellIs" dxfId="45" priority="59" operator="equal">
      <formula>"+"</formula>
    </cfRule>
    <cfRule type="cellIs" dxfId="44" priority="60" operator="equal">
      <formula>"++"</formula>
    </cfRule>
  </conditionalFormatting>
  <conditionalFormatting sqref="AJ5:AK5">
    <cfRule type="cellIs" dxfId="43" priority="45" operator="equal">
      <formula>"--"</formula>
    </cfRule>
    <cfRule type="cellIs" dxfId="42" priority="46" operator="equal">
      <formula>"-"</formula>
    </cfRule>
    <cfRule type="cellIs" dxfId="41" priority="47" operator="equal">
      <formula>"+"</formula>
    </cfRule>
    <cfRule type="cellIs" dxfId="40" priority="48" operator="equal">
      <formula>"++"</formula>
    </cfRule>
  </conditionalFormatting>
  <conditionalFormatting sqref="AO14">
    <cfRule type="cellIs" dxfId="39" priority="33" operator="equal">
      <formula>"--"</formula>
    </cfRule>
    <cfRule type="cellIs" dxfId="38" priority="34" operator="equal">
      <formula>"-"</formula>
    </cfRule>
    <cfRule type="cellIs" dxfId="37" priority="35" operator="equal">
      <formula>"+"</formula>
    </cfRule>
    <cfRule type="cellIs" dxfId="36" priority="36" operator="equal">
      <formula>"++"</formula>
    </cfRule>
  </conditionalFormatting>
  <conditionalFormatting sqref="AO20">
    <cfRule type="cellIs" dxfId="35" priority="13" operator="equal">
      <formula>"--"</formula>
    </cfRule>
    <cfRule type="cellIs" dxfId="34" priority="14" operator="equal">
      <formula>"-"</formula>
    </cfRule>
    <cfRule type="cellIs" dxfId="33" priority="15" operator="equal">
      <formula>"+"</formula>
    </cfRule>
    <cfRule type="cellIs" dxfId="32" priority="16" operator="equal">
      <formula>"++"</formula>
    </cfRule>
  </conditionalFormatting>
  <conditionalFormatting sqref="AO15:AQ15">
    <cfRule type="cellIs" dxfId="31" priority="29" operator="equal">
      <formula>"--"</formula>
    </cfRule>
    <cfRule type="cellIs" dxfId="30" priority="30" operator="equal">
      <formula>"-"</formula>
    </cfRule>
    <cfRule type="cellIs" dxfId="29" priority="31" operator="equal">
      <formula>"+"</formula>
    </cfRule>
    <cfRule type="cellIs" dxfId="28" priority="32" operator="equal">
      <formula>"++"</formula>
    </cfRule>
  </conditionalFormatting>
  <conditionalFormatting sqref="AO21:AQ21">
    <cfRule type="cellIs" dxfId="27" priority="9" operator="equal">
      <formula>"--"</formula>
    </cfRule>
    <cfRule type="cellIs" dxfId="26" priority="10" operator="equal">
      <formula>"-"</formula>
    </cfRule>
    <cfRule type="cellIs" dxfId="25" priority="11" operator="equal">
      <formula>"+"</formula>
    </cfRule>
    <cfRule type="cellIs" dxfId="24" priority="12" operator="equal">
      <formula>"++"</formula>
    </cfRule>
  </conditionalFormatting>
  <conditionalFormatting sqref="AO13:AU13">
    <cfRule type="cellIs" dxfId="23" priority="37" operator="equal">
      <formula>"--"</formula>
    </cfRule>
    <cfRule type="cellIs" dxfId="22" priority="38" operator="equal">
      <formula>"-"</formula>
    </cfRule>
    <cfRule type="cellIs" dxfId="21" priority="39" operator="equal">
      <formula>"+"</formula>
    </cfRule>
    <cfRule type="cellIs" dxfId="20" priority="40" operator="equal">
      <formula>"++"</formula>
    </cfRule>
  </conditionalFormatting>
  <conditionalFormatting sqref="AO19:AU19">
    <cfRule type="cellIs" dxfId="19" priority="17" operator="equal">
      <formula>"--"</formula>
    </cfRule>
    <cfRule type="cellIs" dxfId="18" priority="18" operator="equal">
      <formula>"-"</formula>
    </cfRule>
    <cfRule type="cellIs" dxfId="17" priority="19" operator="equal">
      <formula>"+"</formula>
    </cfRule>
    <cfRule type="cellIs" dxfId="16" priority="20" operator="equal">
      <formula>"++"</formula>
    </cfRule>
  </conditionalFormatting>
  <conditionalFormatting sqref="AS14">
    <cfRule type="cellIs" dxfId="15" priority="25" operator="equal">
      <formula>"--"</formula>
    </cfRule>
    <cfRule type="cellIs" dxfId="14" priority="26" operator="equal">
      <formula>"-"</formula>
    </cfRule>
    <cfRule type="cellIs" dxfId="13" priority="27" operator="equal">
      <formula>"+"</formula>
    </cfRule>
    <cfRule type="cellIs" dxfId="12" priority="28" operator="equal">
      <formula>"++"</formula>
    </cfRule>
  </conditionalFormatting>
  <conditionalFormatting sqref="AS20">
    <cfRule type="cellIs" dxfId="11" priority="5" operator="equal">
      <formula>"--"</formula>
    </cfRule>
    <cfRule type="cellIs" dxfId="10" priority="6" operator="equal">
      <formula>"-"</formula>
    </cfRule>
    <cfRule type="cellIs" dxfId="9" priority="7" operator="equal">
      <formula>"+"</formula>
    </cfRule>
    <cfRule type="cellIs" dxfId="8" priority="8" operator="equal">
      <formula>"++"</formula>
    </cfRule>
  </conditionalFormatting>
  <conditionalFormatting sqref="AS15:AU15">
    <cfRule type="cellIs" dxfId="7" priority="21" operator="equal">
      <formula>"--"</formula>
    </cfRule>
    <cfRule type="cellIs" dxfId="6" priority="22" operator="equal">
      <formula>"-"</formula>
    </cfRule>
    <cfRule type="cellIs" dxfId="5" priority="23" operator="equal">
      <formula>"+"</formula>
    </cfRule>
    <cfRule type="cellIs" dxfId="4" priority="24" operator="equal">
      <formula>"++"</formula>
    </cfRule>
  </conditionalFormatting>
  <conditionalFormatting sqref="AS21:AU21">
    <cfRule type="cellIs" dxfId="3" priority="1" operator="equal">
      <formula>"--"</formula>
    </cfRule>
    <cfRule type="cellIs" dxfId="2" priority="2" operator="equal">
      <formula>"-"</formula>
    </cfRule>
    <cfRule type="cellIs" dxfId="1" priority="3" operator="equal">
      <formula>"+"</formula>
    </cfRule>
    <cfRule type="cellIs" dxfId="0" priority="4" operator="equal">
      <formula>"++"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59B8-FD78-2E48-9A37-3472B9A05F19}">
  <sheetPr>
    <tabColor rgb="FFFFC000"/>
  </sheetPr>
  <dimension ref="A1:L31"/>
  <sheetViews>
    <sheetView workbookViewId="0">
      <selection activeCell="F37" sqref="F37"/>
    </sheetView>
  </sheetViews>
  <sheetFormatPr baseColWidth="10" defaultRowHeight="15" x14ac:dyDescent="0.2"/>
  <cols>
    <col min="1" max="1" width="18.83203125" bestFit="1" customWidth="1"/>
    <col min="7" max="7" width="15" bestFit="1" customWidth="1"/>
  </cols>
  <sheetData>
    <row r="1" spans="1:12" x14ac:dyDescent="0.2">
      <c r="A1" t="s">
        <v>320</v>
      </c>
      <c r="B1" t="s">
        <v>321</v>
      </c>
      <c r="C1" t="s">
        <v>322</v>
      </c>
      <c r="D1" t="s">
        <v>323</v>
      </c>
      <c r="G1" t="s">
        <v>324</v>
      </c>
      <c r="H1" s="2">
        <v>0.5</v>
      </c>
      <c r="J1" t="s">
        <v>321</v>
      </c>
      <c r="K1" t="s">
        <v>322</v>
      </c>
      <c r="L1" t="s">
        <v>323</v>
      </c>
    </row>
    <row r="2" spans="1:12" x14ac:dyDescent="0.2">
      <c r="A2" t="s">
        <v>325</v>
      </c>
      <c r="B2" s="2">
        <v>0</v>
      </c>
      <c r="C2" s="2"/>
      <c r="D2" s="2"/>
      <c r="E2" s="2"/>
      <c r="I2" t="s">
        <v>326</v>
      </c>
      <c r="J2">
        <f>$H$1/B10</f>
        <v>60.788425883711739</v>
      </c>
      <c r="K2">
        <f t="shared" ref="K2:L2" si="0">$H$1/C10</f>
        <v>32.630685897017557</v>
      </c>
      <c r="L2">
        <f t="shared" si="0"/>
        <v>3149.6062992125981</v>
      </c>
    </row>
    <row r="3" spans="1:12" x14ac:dyDescent="0.2">
      <c r="A3" t="s">
        <v>327</v>
      </c>
      <c r="B3" s="2">
        <v>2.4999999999999999E-7</v>
      </c>
      <c r="C3" s="2">
        <v>1.9999999999999999E-6</v>
      </c>
      <c r="D3" s="2">
        <v>2.4999999999999999E-7</v>
      </c>
      <c r="E3" s="2"/>
      <c r="I3" t="s">
        <v>328</v>
      </c>
      <c r="J3">
        <f>J2/24</f>
        <v>2.532851078487989</v>
      </c>
      <c r="K3">
        <f t="shared" ref="K3:L3" si="1">K2/24</f>
        <v>1.3596119123757315</v>
      </c>
      <c r="L3">
        <f t="shared" si="1"/>
        <v>131.23359580052491</v>
      </c>
    </row>
    <row r="4" spans="1:12" x14ac:dyDescent="0.2">
      <c r="A4" t="s">
        <v>261</v>
      </c>
      <c r="B4" s="2">
        <v>3.4999999999999997E-5</v>
      </c>
      <c r="C4" s="2">
        <v>3.4999999999999997E-5</v>
      </c>
      <c r="D4" s="2">
        <v>3.4999999999999997E-5</v>
      </c>
      <c r="E4" s="2"/>
    </row>
    <row r="5" spans="1:12" x14ac:dyDescent="0.2">
      <c r="A5" t="s">
        <v>329</v>
      </c>
      <c r="B5" s="2">
        <v>1.2999999999999999E-5</v>
      </c>
      <c r="C5" s="2">
        <v>2.5999999999999998E-5</v>
      </c>
      <c r="D5" s="2">
        <v>3.0000000000000001E-6</v>
      </c>
      <c r="E5" s="2"/>
    </row>
    <row r="6" spans="1:12" ht="16" x14ac:dyDescent="0.2">
      <c r="A6" t="s">
        <v>330</v>
      </c>
      <c r="B6" s="2">
        <v>1.1E-4</v>
      </c>
      <c r="C6" s="2">
        <v>1.6000000000000001E-4</v>
      </c>
      <c r="D6" s="2">
        <v>1.1E-4</v>
      </c>
      <c r="E6" s="2"/>
      <c r="I6" s="46" t="s">
        <v>331</v>
      </c>
      <c r="J6" s="46"/>
    </row>
    <row r="7" spans="1:12" ht="16" x14ac:dyDescent="0.2">
      <c r="A7" t="s">
        <v>49</v>
      </c>
      <c r="B7" s="2">
        <v>8.0000000000000002E-3</v>
      </c>
      <c r="C7" s="2">
        <v>1.4999999999999999E-2</v>
      </c>
      <c r="D7" s="2">
        <v>1.0000000000000001E-5</v>
      </c>
      <c r="E7" s="2"/>
      <c r="I7" s="46" t="s">
        <v>332</v>
      </c>
      <c r="J7" s="46"/>
    </row>
    <row r="8" spans="1:12" ht="16" x14ac:dyDescent="0.2">
      <c r="A8" t="s">
        <v>333</v>
      </c>
      <c r="B8" s="2">
        <v>6.7000000000000002E-5</v>
      </c>
      <c r="C8" s="2">
        <v>1E-4</v>
      </c>
      <c r="D8" s="2">
        <v>4.9999999999999998E-7</v>
      </c>
      <c r="E8" s="2"/>
      <c r="I8" s="46" t="s">
        <v>334</v>
      </c>
      <c r="J8" s="46"/>
    </row>
    <row r="9" spans="1:12" x14ac:dyDescent="0.2">
      <c r="B9" t="s">
        <v>321</v>
      </c>
      <c r="C9" t="s">
        <v>322</v>
      </c>
      <c r="D9" t="s">
        <v>323</v>
      </c>
      <c r="E9" s="2"/>
      <c r="I9" t="s">
        <v>328</v>
      </c>
      <c r="J9">
        <f>$H$1/0.012</f>
        <v>41.666666666666664</v>
      </c>
    </row>
    <row r="10" spans="1:12" x14ac:dyDescent="0.2">
      <c r="A10" t="s">
        <v>238</v>
      </c>
      <c r="B10" s="2">
        <f>SUM(B2:B9)</f>
        <v>8.2252499999999999E-3</v>
      </c>
      <c r="C10" s="2">
        <f t="shared" ref="C10:D10" si="2">SUM(C2:C9)</f>
        <v>1.5322999999999998E-2</v>
      </c>
      <c r="D10" s="2">
        <f t="shared" si="2"/>
        <v>1.5875000000000001E-4</v>
      </c>
      <c r="E10" s="2"/>
    </row>
    <row r="11" spans="1:12" x14ac:dyDescent="0.2">
      <c r="B11" s="2"/>
      <c r="C11" s="2"/>
      <c r="D11" s="2"/>
      <c r="E11" s="2"/>
    </row>
    <row r="12" spans="1:12" x14ac:dyDescent="0.2">
      <c r="B12" s="2"/>
      <c r="C12" s="2"/>
      <c r="D12" s="2"/>
      <c r="E12" s="2"/>
    </row>
    <row r="13" spans="1:12" x14ac:dyDescent="0.2">
      <c r="A13" t="s">
        <v>335</v>
      </c>
      <c r="B13" s="2"/>
      <c r="C13" s="2"/>
      <c r="D13" s="2"/>
      <c r="E13" s="2"/>
    </row>
    <row r="14" spans="1:12" x14ac:dyDescent="0.2">
      <c r="B14" s="2"/>
      <c r="C14" s="2"/>
      <c r="D14" s="2"/>
      <c r="E14" s="2"/>
    </row>
    <row r="15" spans="1:12" x14ac:dyDescent="0.2">
      <c r="B15" s="2"/>
      <c r="C15" s="2"/>
      <c r="D15" s="2"/>
      <c r="E15" s="2"/>
    </row>
    <row r="16" spans="1:12" x14ac:dyDescent="0.2">
      <c r="B16" s="2"/>
      <c r="C16" s="2"/>
      <c r="D16" s="2"/>
      <c r="E16" s="2"/>
    </row>
    <row r="17" spans="1:12" x14ac:dyDescent="0.2">
      <c r="B17" s="2"/>
      <c r="C17" s="2"/>
      <c r="D17" s="2"/>
      <c r="E17" s="2"/>
    </row>
    <row r="18" spans="1:12" x14ac:dyDescent="0.2">
      <c r="B18" s="2"/>
      <c r="C18" s="2"/>
      <c r="D18" s="2"/>
      <c r="E18" s="2"/>
    </row>
    <row r="19" spans="1:12" x14ac:dyDescent="0.2">
      <c r="A19" t="s">
        <v>320</v>
      </c>
      <c r="B19" t="s">
        <v>321</v>
      </c>
      <c r="C19" t="s">
        <v>322</v>
      </c>
      <c r="D19" t="s">
        <v>323</v>
      </c>
      <c r="G19" t="s">
        <v>324</v>
      </c>
      <c r="H19" s="2">
        <v>0.5</v>
      </c>
      <c r="J19" t="s">
        <v>321</v>
      </c>
      <c r="K19" t="s">
        <v>322</v>
      </c>
      <c r="L19" t="s">
        <v>323</v>
      </c>
    </row>
    <row r="20" spans="1:12" x14ac:dyDescent="0.2">
      <c r="A20" t="s">
        <v>325</v>
      </c>
      <c r="B20" s="2">
        <v>0</v>
      </c>
      <c r="C20" s="2"/>
      <c r="D20" s="2"/>
      <c r="E20" s="2"/>
      <c r="I20" t="s">
        <v>326</v>
      </c>
      <c r="J20" s="2">
        <f>$H$1/B28</f>
        <v>2219.7558268590456</v>
      </c>
      <c r="K20">
        <f t="shared" ref="K20:L20" si="3">$H$1/C28</f>
        <v>32.630685897017557</v>
      </c>
      <c r="L20">
        <f t="shared" si="3"/>
        <v>9302.325581395351</v>
      </c>
    </row>
    <row r="21" spans="1:12" x14ac:dyDescent="0.2">
      <c r="A21" t="s">
        <v>327</v>
      </c>
      <c r="B21" s="2">
        <v>2.4999999999999999E-7</v>
      </c>
      <c r="C21" s="2">
        <v>1.9999999999999999E-6</v>
      </c>
      <c r="D21" s="2">
        <v>2.4999999999999999E-7</v>
      </c>
      <c r="E21" s="2"/>
      <c r="I21" t="s">
        <v>328</v>
      </c>
      <c r="J21">
        <f>J20/24</f>
        <v>92.489826119126903</v>
      </c>
      <c r="K21">
        <f t="shared" ref="K21:L21" si="4">K20/24</f>
        <v>1.3596119123757315</v>
      </c>
      <c r="L21">
        <f t="shared" si="4"/>
        <v>387.59689922480629</v>
      </c>
    </row>
    <row r="22" spans="1:12" x14ac:dyDescent="0.2">
      <c r="A22" t="s">
        <v>261</v>
      </c>
      <c r="B22" s="2">
        <v>3.4999999999999997E-5</v>
      </c>
      <c r="C22" s="2">
        <v>3.4999999999999997E-5</v>
      </c>
      <c r="D22" s="2">
        <v>3.4999999999999997E-5</v>
      </c>
      <c r="E22" s="2"/>
    </row>
    <row r="23" spans="1:12" x14ac:dyDescent="0.2">
      <c r="A23" t="s">
        <v>329</v>
      </c>
      <c r="B23" s="2">
        <v>1.2999999999999999E-5</v>
      </c>
      <c r="C23" s="2">
        <v>2.5999999999999998E-5</v>
      </c>
      <c r="D23" s="2">
        <v>3.0000000000000001E-6</v>
      </c>
      <c r="E23" s="2"/>
    </row>
    <row r="24" spans="1:12" ht="16" x14ac:dyDescent="0.2">
      <c r="A24" t="s">
        <v>330</v>
      </c>
      <c r="B24" s="2">
        <v>1.0000000000000001E-5</v>
      </c>
      <c r="C24" s="2">
        <v>1.6000000000000001E-4</v>
      </c>
      <c r="D24" s="2">
        <v>1.0000000000000001E-5</v>
      </c>
      <c r="E24" s="2"/>
      <c r="I24" s="46" t="s">
        <v>331</v>
      </c>
      <c r="J24" s="46"/>
    </row>
    <row r="25" spans="1:12" ht="16" x14ac:dyDescent="0.2">
      <c r="A25" t="s">
        <v>49</v>
      </c>
      <c r="B25" s="2">
        <v>1E-4</v>
      </c>
      <c r="C25" s="2">
        <v>1.4999999999999999E-2</v>
      </c>
      <c r="D25" s="2">
        <v>5.0000000000000004E-6</v>
      </c>
      <c r="E25" s="2"/>
      <c r="I25" s="46" t="s">
        <v>332</v>
      </c>
      <c r="J25" s="46"/>
    </row>
    <row r="26" spans="1:12" ht="16" x14ac:dyDescent="0.2">
      <c r="A26" t="s">
        <v>333</v>
      </c>
      <c r="B26" s="2">
        <v>6.7000000000000002E-5</v>
      </c>
      <c r="C26" s="2">
        <v>1E-4</v>
      </c>
      <c r="D26" s="2">
        <v>4.9999999999999998E-7</v>
      </c>
      <c r="E26" s="2"/>
      <c r="I26" s="46" t="s">
        <v>334</v>
      </c>
      <c r="J26" s="46"/>
    </row>
    <row r="27" spans="1:12" x14ac:dyDescent="0.2">
      <c r="B27" t="s">
        <v>321</v>
      </c>
      <c r="C27" t="s">
        <v>322</v>
      </c>
      <c r="D27" t="s">
        <v>323</v>
      </c>
      <c r="E27" s="2"/>
      <c r="I27" t="s">
        <v>328</v>
      </c>
      <c r="J27">
        <f>$H$1/0.012</f>
        <v>41.666666666666664</v>
      </c>
    </row>
    <row r="28" spans="1:12" x14ac:dyDescent="0.2">
      <c r="A28" t="s">
        <v>238</v>
      </c>
      <c r="B28" s="2">
        <f>SUM(B20:B27)</f>
        <v>2.2525E-4</v>
      </c>
      <c r="C28" s="2">
        <f t="shared" ref="C28:D28" si="5">SUM(C20:C27)</f>
        <v>1.5322999999999998E-2</v>
      </c>
      <c r="D28" s="2">
        <f t="shared" si="5"/>
        <v>5.3749999999999992E-5</v>
      </c>
      <c r="E28" s="2"/>
    </row>
    <row r="29" spans="1:12" x14ac:dyDescent="0.2">
      <c r="B29" s="2"/>
      <c r="C29" s="2"/>
      <c r="D29" s="2"/>
      <c r="E29" s="2"/>
    </row>
    <row r="30" spans="1:12" x14ac:dyDescent="0.2">
      <c r="B30" s="2"/>
      <c r="C30" s="2"/>
      <c r="D30" s="2"/>
      <c r="E30" s="2"/>
    </row>
    <row r="31" spans="1:12" x14ac:dyDescent="0.2">
      <c r="A31" t="s">
        <v>335</v>
      </c>
      <c r="B31" s="2"/>
      <c r="C31" s="2"/>
      <c r="D31" s="2"/>
      <c r="E3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2133-4E8C-4BB9-8D0B-87266252F8C8}">
  <sheetPr>
    <tabColor rgb="FF00B050"/>
  </sheetPr>
  <dimension ref="A1:T75"/>
  <sheetViews>
    <sheetView zoomScaleNormal="100" workbookViewId="0">
      <pane ySplit="4" topLeftCell="A5" activePane="bottomLeft" state="frozen"/>
      <selection pane="bottomLeft" activeCell="E7" sqref="E7"/>
    </sheetView>
  </sheetViews>
  <sheetFormatPr baseColWidth="10" defaultColWidth="9.1640625" defaultRowHeight="14" x14ac:dyDescent="0.2"/>
  <cols>
    <col min="1" max="1" width="70.83203125" style="34" bestFit="1" customWidth="1"/>
    <col min="2" max="2" width="18.33203125" style="34" bestFit="1" customWidth="1"/>
    <col min="3" max="3" width="20.83203125" style="34" bestFit="1" customWidth="1"/>
    <col min="4" max="4" width="9.5" style="34" bestFit="1" customWidth="1"/>
    <col min="5" max="5" width="4" style="34" bestFit="1" customWidth="1"/>
    <col min="6" max="6" width="13.33203125" style="34" bestFit="1" customWidth="1"/>
    <col min="7" max="7" width="17.5" style="34" bestFit="1" customWidth="1"/>
    <col min="8" max="8" width="8.33203125" style="34" bestFit="1" customWidth="1"/>
    <col min="9" max="9" width="43" style="34" bestFit="1" customWidth="1"/>
    <col min="10" max="10" width="9.1640625" style="34"/>
    <col min="11" max="11" width="11.6640625" style="34" bestFit="1" customWidth="1"/>
    <col min="12" max="12" width="28.6640625" style="34" bestFit="1" customWidth="1"/>
    <col min="13" max="13" width="21" style="34" bestFit="1" customWidth="1"/>
    <col min="14" max="14" width="17" style="34" customWidth="1"/>
    <col min="15" max="15" width="9.33203125" style="34" bestFit="1" customWidth="1"/>
    <col min="16" max="16" width="13.6640625" style="34" customWidth="1"/>
    <col min="17" max="17" width="16.5" style="34" customWidth="1"/>
    <col min="18" max="18" width="9.5" style="34" bestFit="1" customWidth="1"/>
    <col min="19" max="19" width="12" style="34" bestFit="1" customWidth="1"/>
    <col min="20" max="20" width="8.33203125" style="34" customWidth="1"/>
    <col min="21" max="21" width="19" style="34" bestFit="1" customWidth="1"/>
    <col min="22" max="22" width="14.1640625" style="34" customWidth="1"/>
    <col min="23" max="23" width="8.33203125" style="34" bestFit="1" customWidth="1"/>
    <col min="24" max="24" width="15.33203125" style="34" customWidth="1"/>
    <col min="25" max="25" width="14.1640625" style="34" customWidth="1"/>
    <col min="26" max="16384" width="9.1640625" style="34"/>
  </cols>
  <sheetData>
    <row r="1" spans="1:20" ht="67.5" customHeight="1" x14ac:dyDescent="0.25">
      <c r="A1" s="38" t="s">
        <v>269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s="35" customFormat="1" ht="16" x14ac:dyDescent="0.2">
      <c r="A2" s="41" t="s">
        <v>270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 s="36" customFormat="1" ht="15" x14ac:dyDescent="0.2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 s="36" customFormat="1" ht="15" x14ac:dyDescent="0.2">
      <c r="A4" s="39" t="s">
        <v>239</v>
      </c>
      <c r="B4" s="39" t="s">
        <v>242</v>
      </c>
      <c r="C4" s="39" t="s">
        <v>237</v>
      </c>
      <c r="D4" s="39" t="s">
        <v>271</v>
      </c>
      <c r="E4" s="39" t="s">
        <v>240</v>
      </c>
      <c r="F4" s="39" t="s">
        <v>272</v>
      </c>
      <c r="G4" s="39" t="s">
        <v>273</v>
      </c>
      <c r="H4" s="39" t="s">
        <v>274</v>
      </c>
      <c r="I4" s="39" t="s">
        <v>236</v>
      </c>
      <c r="J4"/>
      <c r="K4"/>
      <c r="L4"/>
      <c r="M4"/>
      <c r="N4"/>
      <c r="O4"/>
      <c r="P4"/>
      <c r="Q4"/>
      <c r="R4"/>
      <c r="S4"/>
      <c r="T4"/>
    </row>
    <row r="5" spans="1:20" s="36" customFormat="1" ht="15" x14ac:dyDescent="0.2">
      <c r="A5">
        <v>1</v>
      </c>
      <c r="B5" t="s">
        <v>244</v>
      </c>
      <c r="C5" t="s">
        <v>275</v>
      </c>
      <c r="D5" t="s">
        <v>276</v>
      </c>
      <c r="E5">
        <v>21</v>
      </c>
      <c r="F5" s="42">
        <v>1E-3</v>
      </c>
      <c r="G5" s="42">
        <f t="shared" ref="G5:G19" si="0">E5*F5</f>
        <v>2.1000000000000001E-2</v>
      </c>
      <c r="H5" t="s">
        <v>277</v>
      </c>
      <c r="I5" t="s">
        <v>278</v>
      </c>
      <c r="J5"/>
      <c r="K5"/>
      <c r="L5"/>
      <c r="M5"/>
      <c r="N5"/>
      <c r="O5"/>
      <c r="P5"/>
      <c r="Q5"/>
      <c r="R5"/>
      <c r="S5"/>
      <c r="T5"/>
    </row>
    <row r="6" spans="1:20" s="36" customFormat="1" ht="15" x14ac:dyDescent="0.2">
      <c r="A6">
        <v>2</v>
      </c>
      <c r="B6" t="s">
        <v>245</v>
      </c>
      <c r="C6" t="s">
        <v>279</v>
      </c>
      <c r="D6" t="s">
        <v>280</v>
      </c>
      <c r="E6">
        <v>7</v>
      </c>
      <c r="F6" s="42">
        <v>2E-3</v>
      </c>
      <c r="G6" s="42">
        <f t="shared" si="0"/>
        <v>1.4E-2</v>
      </c>
      <c r="H6" t="s">
        <v>277</v>
      </c>
      <c r="I6" t="s">
        <v>281</v>
      </c>
      <c r="J6"/>
      <c r="K6"/>
      <c r="L6"/>
      <c r="M6"/>
      <c r="N6"/>
      <c r="O6"/>
      <c r="P6"/>
      <c r="Q6"/>
      <c r="R6"/>
      <c r="S6"/>
      <c r="T6"/>
    </row>
    <row r="7" spans="1:20" s="36" customFormat="1" ht="15" x14ac:dyDescent="0.2">
      <c r="A7">
        <v>3</v>
      </c>
      <c r="B7" t="s">
        <v>23</v>
      </c>
      <c r="C7" t="s">
        <v>282</v>
      </c>
      <c r="D7" t="s">
        <v>22</v>
      </c>
      <c r="E7">
        <v>1</v>
      </c>
      <c r="F7" s="42">
        <v>7.8E-2</v>
      </c>
      <c r="G7" s="42">
        <f t="shared" si="0"/>
        <v>7.8E-2</v>
      </c>
      <c r="H7" t="s">
        <v>277</v>
      </c>
      <c r="I7" t="s">
        <v>283</v>
      </c>
      <c r="J7"/>
      <c r="K7"/>
      <c r="L7"/>
      <c r="M7"/>
      <c r="N7"/>
      <c r="O7"/>
      <c r="P7"/>
      <c r="Q7"/>
      <c r="R7"/>
      <c r="S7"/>
      <c r="T7"/>
    </row>
    <row r="8" spans="1:20" s="36" customFormat="1" ht="15" x14ac:dyDescent="0.2">
      <c r="A8">
        <v>4</v>
      </c>
      <c r="B8" t="s">
        <v>246</v>
      </c>
      <c r="C8" t="s">
        <v>284</v>
      </c>
      <c r="D8" t="s">
        <v>285</v>
      </c>
      <c r="E8">
        <v>1</v>
      </c>
      <c r="F8" s="42">
        <v>0.54800000000000004</v>
      </c>
      <c r="G8" s="42">
        <f t="shared" si="0"/>
        <v>0.54800000000000004</v>
      </c>
      <c r="H8" t="s">
        <v>277</v>
      </c>
      <c r="I8" t="s">
        <v>286</v>
      </c>
      <c r="J8"/>
      <c r="K8"/>
      <c r="L8"/>
      <c r="M8"/>
      <c r="N8"/>
      <c r="O8"/>
      <c r="P8"/>
      <c r="Q8"/>
      <c r="R8"/>
      <c r="S8"/>
      <c r="T8"/>
    </row>
    <row r="9" spans="1:20" s="36" customFormat="1" ht="15" x14ac:dyDescent="0.2">
      <c r="A9">
        <v>5</v>
      </c>
      <c r="B9" t="s">
        <v>247</v>
      </c>
      <c r="C9" t="s">
        <v>287</v>
      </c>
      <c r="D9" t="s">
        <v>288</v>
      </c>
      <c r="E9">
        <v>1</v>
      </c>
      <c r="F9" s="42">
        <v>0</v>
      </c>
      <c r="G9" s="42">
        <f t="shared" si="0"/>
        <v>0</v>
      </c>
      <c r="H9" t="s">
        <v>289</v>
      </c>
      <c r="I9" t="s">
        <v>290</v>
      </c>
      <c r="J9"/>
      <c r="K9"/>
      <c r="L9"/>
      <c r="M9"/>
      <c r="N9"/>
      <c r="O9"/>
      <c r="P9"/>
      <c r="Q9"/>
      <c r="R9"/>
      <c r="S9"/>
      <c r="T9"/>
    </row>
    <row r="10" spans="1:20" s="36" customFormat="1" ht="15" x14ac:dyDescent="0.2">
      <c r="A10">
        <v>6</v>
      </c>
      <c r="B10" t="s">
        <v>291</v>
      </c>
      <c r="C10" t="s">
        <v>292</v>
      </c>
      <c r="D10" t="s">
        <v>293</v>
      </c>
      <c r="E10">
        <v>1</v>
      </c>
      <c r="F10" s="42">
        <v>2.5000000000000001E-2</v>
      </c>
      <c r="G10" s="42">
        <f t="shared" si="0"/>
        <v>2.5000000000000001E-2</v>
      </c>
      <c r="H10" t="s">
        <v>277</v>
      </c>
      <c r="I10" t="s">
        <v>294</v>
      </c>
      <c r="J10"/>
      <c r="K10"/>
      <c r="L10"/>
      <c r="M10"/>
      <c r="N10"/>
      <c r="O10"/>
      <c r="P10"/>
      <c r="Q10"/>
      <c r="R10"/>
      <c r="S10"/>
      <c r="T10"/>
    </row>
    <row r="11" spans="1:20" s="36" customFormat="1" ht="15" x14ac:dyDescent="0.2">
      <c r="A11">
        <v>7</v>
      </c>
      <c r="B11" t="s">
        <v>249</v>
      </c>
      <c r="C11" t="s">
        <v>295</v>
      </c>
      <c r="D11" t="s">
        <v>296</v>
      </c>
      <c r="E11">
        <v>8</v>
      </c>
      <c r="F11" s="42">
        <v>5.0000000000000001E-4</v>
      </c>
      <c r="G11" s="42">
        <f t="shared" si="0"/>
        <v>4.0000000000000001E-3</v>
      </c>
      <c r="H11" t="s">
        <v>277</v>
      </c>
      <c r="I11" t="s">
        <v>297</v>
      </c>
      <c r="J11"/>
      <c r="K11"/>
      <c r="L11"/>
      <c r="M11"/>
      <c r="N11"/>
      <c r="O11"/>
      <c r="P11"/>
      <c r="Q11"/>
      <c r="R11"/>
      <c r="S11"/>
      <c r="T11"/>
    </row>
    <row r="12" spans="1:20" s="36" customFormat="1" ht="15" x14ac:dyDescent="0.2">
      <c r="A12">
        <v>8</v>
      </c>
      <c r="B12" t="s">
        <v>250</v>
      </c>
      <c r="C12" t="s">
        <v>298</v>
      </c>
      <c r="D12" t="s">
        <v>299</v>
      </c>
      <c r="E12">
        <v>1</v>
      </c>
      <c r="F12" s="42">
        <v>0.79500000000000004</v>
      </c>
      <c r="G12" s="42">
        <f t="shared" si="0"/>
        <v>0.79500000000000004</v>
      </c>
      <c r="H12" t="s">
        <v>277</v>
      </c>
      <c r="I12" t="s">
        <v>300</v>
      </c>
      <c r="J12"/>
      <c r="K12"/>
      <c r="L12"/>
      <c r="M12"/>
      <c r="N12"/>
      <c r="O12"/>
      <c r="P12"/>
      <c r="Q12"/>
      <c r="R12"/>
      <c r="S12"/>
      <c r="T12"/>
    </row>
    <row r="13" spans="1:20" s="36" customFormat="1" ht="15" x14ac:dyDescent="0.2">
      <c r="A13">
        <v>9</v>
      </c>
      <c r="B13" t="s">
        <v>252</v>
      </c>
      <c r="C13" t="s">
        <v>251</v>
      </c>
      <c r="D13" t="s">
        <v>301</v>
      </c>
      <c r="E13">
        <v>1</v>
      </c>
      <c r="F13" s="42">
        <v>4.1500000000000004</v>
      </c>
      <c r="G13" s="42">
        <f t="shared" si="0"/>
        <v>4.1500000000000004</v>
      </c>
      <c r="H13" t="s">
        <v>277</v>
      </c>
      <c r="I13" t="s">
        <v>302</v>
      </c>
      <c r="J13"/>
      <c r="K13"/>
      <c r="L13"/>
      <c r="M13"/>
      <c r="N13"/>
      <c r="O13"/>
      <c r="P13"/>
      <c r="Q13"/>
      <c r="R13"/>
      <c r="S13"/>
      <c r="T13"/>
    </row>
    <row r="14" spans="1:20" s="36" customFormat="1" ht="15" x14ac:dyDescent="0.2">
      <c r="A14">
        <v>10</v>
      </c>
      <c r="B14" t="s">
        <v>255</v>
      </c>
      <c r="C14" t="s">
        <v>303</v>
      </c>
      <c r="D14" t="s">
        <v>304</v>
      </c>
      <c r="E14">
        <v>1</v>
      </c>
      <c r="F14" s="42">
        <v>1.03</v>
      </c>
      <c r="G14" s="42">
        <f t="shared" si="0"/>
        <v>1.03</v>
      </c>
      <c r="H14" t="s">
        <v>277</v>
      </c>
      <c r="I14" t="s">
        <v>305</v>
      </c>
      <c r="J14"/>
      <c r="K14"/>
      <c r="L14"/>
      <c r="M14"/>
      <c r="N14"/>
      <c r="O14"/>
      <c r="P14"/>
      <c r="Q14"/>
      <c r="R14"/>
      <c r="S14"/>
      <c r="T14"/>
    </row>
    <row r="15" spans="1:20" s="36" customFormat="1" ht="15" x14ac:dyDescent="0.2">
      <c r="A15">
        <v>11</v>
      </c>
      <c r="B15" t="s">
        <v>257</v>
      </c>
      <c r="C15" t="s">
        <v>306</v>
      </c>
      <c r="D15" t="s">
        <v>307</v>
      </c>
      <c r="E15">
        <v>1</v>
      </c>
      <c r="F15" s="42">
        <v>0</v>
      </c>
      <c r="G15" s="42">
        <f t="shared" si="0"/>
        <v>0</v>
      </c>
      <c r="H15" t="s">
        <v>289</v>
      </c>
      <c r="I15" t="s">
        <v>308</v>
      </c>
      <c r="J15"/>
      <c r="K15"/>
      <c r="L15"/>
      <c r="M15"/>
      <c r="N15"/>
      <c r="O15"/>
      <c r="P15"/>
      <c r="Q15"/>
      <c r="R15"/>
      <c r="S15"/>
      <c r="T15"/>
    </row>
    <row r="16" spans="1:20" s="36" customFormat="1" ht="15" x14ac:dyDescent="0.2">
      <c r="A16">
        <v>12</v>
      </c>
      <c r="B16" t="s">
        <v>261</v>
      </c>
      <c r="C16" t="s">
        <v>260</v>
      </c>
      <c r="D16" t="s">
        <v>309</v>
      </c>
      <c r="E16">
        <v>1</v>
      </c>
      <c r="F16" s="42">
        <v>0.35</v>
      </c>
      <c r="G16" s="42">
        <f t="shared" si="0"/>
        <v>0.35</v>
      </c>
      <c r="H16" t="s">
        <v>277</v>
      </c>
      <c r="I16" t="s">
        <v>310</v>
      </c>
      <c r="J16"/>
      <c r="K16"/>
      <c r="L16"/>
      <c r="M16"/>
      <c r="N16"/>
      <c r="O16"/>
      <c r="P16"/>
      <c r="Q16"/>
      <c r="R16"/>
      <c r="S16"/>
      <c r="T16"/>
    </row>
    <row r="17" spans="1:20" s="36" customFormat="1" ht="15" x14ac:dyDescent="0.2">
      <c r="A17">
        <v>13</v>
      </c>
      <c r="B17" t="s">
        <v>264</v>
      </c>
      <c r="C17" t="s">
        <v>263</v>
      </c>
      <c r="D17" t="s">
        <v>311</v>
      </c>
      <c r="E17">
        <v>1</v>
      </c>
      <c r="F17" s="42">
        <v>0.123</v>
      </c>
      <c r="G17" s="42">
        <f t="shared" si="0"/>
        <v>0.123</v>
      </c>
      <c r="H17" t="s">
        <v>277</v>
      </c>
      <c r="I17" t="s">
        <v>312</v>
      </c>
      <c r="J17"/>
      <c r="K17"/>
      <c r="L17"/>
      <c r="M17"/>
      <c r="N17"/>
      <c r="O17"/>
      <c r="P17"/>
      <c r="Q17"/>
      <c r="R17"/>
      <c r="S17"/>
      <c r="T17"/>
    </row>
    <row r="18" spans="1:20" s="36" customFormat="1" ht="15" x14ac:dyDescent="0.2">
      <c r="A18">
        <v>14</v>
      </c>
      <c r="B18" t="s">
        <v>265</v>
      </c>
      <c r="C18" t="s">
        <v>313</v>
      </c>
      <c r="D18" t="s">
        <v>314</v>
      </c>
      <c r="E18">
        <v>1</v>
      </c>
      <c r="F18" s="42">
        <v>3.6999999999999998E-2</v>
      </c>
      <c r="G18" s="42">
        <f t="shared" si="0"/>
        <v>3.6999999999999998E-2</v>
      </c>
      <c r="H18" t="s">
        <v>277</v>
      </c>
      <c r="I18" t="s">
        <v>315</v>
      </c>
      <c r="J18"/>
      <c r="K18"/>
      <c r="L18"/>
      <c r="M18"/>
      <c r="N18"/>
      <c r="O18"/>
      <c r="P18"/>
      <c r="Q18"/>
      <c r="R18"/>
      <c r="S18"/>
      <c r="T18"/>
    </row>
    <row r="19" spans="1:20" s="36" customFormat="1" ht="15" x14ac:dyDescent="0.2">
      <c r="A19">
        <v>15</v>
      </c>
      <c r="B19" t="s">
        <v>49</v>
      </c>
      <c r="C19" t="s">
        <v>267</v>
      </c>
      <c r="D19" t="s">
        <v>316</v>
      </c>
      <c r="E19">
        <v>1</v>
      </c>
      <c r="F19" s="42">
        <v>5.5E-2</v>
      </c>
      <c r="G19" s="42">
        <f t="shared" si="0"/>
        <v>5.5E-2</v>
      </c>
      <c r="H19" t="s">
        <v>277</v>
      </c>
      <c r="I19" t="s">
        <v>317</v>
      </c>
      <c r="J19"/>
      <c r="K19"/>
      <c r="L19"/>
      <c r="M19"/>
      <c r="N19"/>
      <c r="O19"/>
      <c r="P19"/>
      <c r="Q19"/>
      <c r="R19"/>
      <c r="S19"/>
      <c r="T19"/>
    </row>
    <row r="20" spans="1:20" s="36" customFormat="1" ht="15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 s="36" customFormat="1" ht="15" x14ac:dyDescent="0.2">
      <c r="A21" s="43" t="s">
        <v>318</v>
      </c>
      <c r="B21" s="44"/>
      <c r="C21" s="44"/>
      <c r="D21" s="44"/>
      <c r="E21" s="44"/>
      <c r="F21" s="44"/>
      <c r="G21" s="45">
        <f>SUMIF(H5:H19,"Yes",G5:G19)</f>
        <v>7.23</v>
      </c>
      <c r="H21" s="44"/>
      <c r="I21" s="44"/>
      <c r="J21"/>
      <c r="K21"/>
      <c r="L21"/>
      <c r="M21"/>
      <c r="N21"/>
      <c r="O21"/>
      <c r="P21"/>
      <c r="Q21"/>
      <c r="R21"/>
      <c r="S21"/>
      <c r="T21"/>
    </row>
    <row r="22" spans="1:20" s="36" customFormat="1" ht="15" x14ac:dyDescent="0.2">
      <c r="A22" s="43" t="s">
        <v>319</v>
      </c>
      <c r="B22" s="44"/>
      <c r="C22" s="44"/>
      <c r="D22" s="44"/>
      <c r="E22" s="44"/>
      <c r="F22" s="44"/>
      <c r="G22" s="45">
        <f>SUM(G5:G19)</f>
        <v>7.23</v>
      </c>
      <c r="H22" s="44"/>
      <c r="I22" s="44"/>
      <c r="J22"/>
      <c r="K22"/>
      <c r="L22"/>
      <c r="M22"/>
      <c r="N22"/>
      <c r="O22"/>
      <c r="P22"/>
      <c r="Q22"/>
      <c r="R22"/>
      <c r="S22"/>
      <c r="T22"/>
    </row>
    <row r="23" spans="1:20" ht="15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15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 ht="15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 ht="15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 ht="68.75" customHeight="1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 ht="31.5" customHeight="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ht="15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 ht="15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 ht="15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 ht="15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ht="15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 ht="15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ht="15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ht="15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ht="15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ht="15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15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spans="1:20" ht="15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0" ht="15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1:20" ht="15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0" ht="15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0" ht="15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0" ht="15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0" ht="15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0" ht="15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0" ht="15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ht="15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ht="15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ht="15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ht="15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ht="15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ht="15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ht="25.25" customHeigh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ht="34.5" customHeigh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ht="15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ht="15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ht="15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ht="15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ht="15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 ht="15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ht="15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ht="15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1:20" ht="15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1:20" ht="15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1:20" ht="15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1:20" x14ac:dyDescent="0.2">
      <c r="E68" s="37"/>
    </row>
    <row r="69" spans="1:20" x14ac:dyDescent="0.2">
      <c r="E69" s="37"/>
    </row>
    <row r="70" spans="1:20" x14ac:dyDescent="0.2">
      <c r="E70" s="37"/>
    </row>
    <row r="71" spans="1:20" x14ac:dyDescent="0.2">
      <c r="E71" s="37"/>
    </row>
    <row r="72" spans="1:20" x14ac:dyDescent="0.2">
      <c r="E72" s="37"/>
    </row>
    <row r="73" spans="1:20" x14ac:dyDescent="0.2">
      <c r="E73" s="37"/>
    </row>
    <row r="74" spans="1:20" x14ac:dyDescent="0.2">
      <c r="E74" s="37"/>
    </row>
    <row r="75" spans="1:20" x14ac:dyDescent="0.2">
      <c r="E75" s="37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2CE8-6328-574F-84CA-162C8ACED3C7}">
  <sheetPr>
    <tabColor rgb="FFFF0000"/>
  </sheetPr>
  <dimension ref="A1:K56"/>
  <sheetViews>
    <sheetView tabSelected="1" zoomScale="125" workbookViewId="0">
      <selection activeCell="G42" sqref="G42"/>
    </sheetView>
  </sheetViews>
  <sheetFormatPr baseColWidth="10" defaultRowHeight="15" x14ac:dyDescent="0.2"/>
  <cols>
    <col min="1" max="1" width="37" bestFit="1" customWidth="1"/>
    <col min="2" max="2" width="3.83203125" bestFit="1" customWidth="1"/>
    <col min="3" max="3" width="21.6640625" bestFit="1" customWidth="1"/>
    <col min="4" max="4" width="63.83203125" bestFit="1" customWidth="1"/>
    <col min="5" max="5" width="80.6640625" bestFit="1" customWidth="1"/>
    <col min="6" max="6" width="10.1640625" bestFit="1" customWidth="1"/>
    <col min="7" max="7" width="32" bestFit="1" customWidth="1"/>
    <col min="8" max="8" width="22.83203125" bestFit="1" customWidth="1"/>
    <col min="9" max="9" width="80.6640625" bestFit="1" customWidth="1"/>
    <col min="11" max="11" width="38.1640625" bestFit="1" customWidth="1"/>
  </cols>
  <sheetData>
    <row r="1" spans="1:11" x14ac:dyDescent="0.2">
      <c r="A1" s="1" t="s">
        <v>336</v>
      </c>
      <c r="B1" t="s">
        <v>240</v>
      </c>
      <c r="C1" t="s">
        <v>13</v>
      </c>
      <c r="D1" t="s">
        <v>337</v>
      </c>
      <c r="E1" t="s">
        <v>338</v>
      </c>
      <c r="F1" t="s">
        <v>97</v>
      </c>
      <c r="G1" t="s">
        <v>98</v>
      </c>
      <c r="H1" t="s">
        <v>339</v>
      </c>
      <c r="I1" t="s">
        <v>237</v>
      </c>
      <c r="J1" s="40"/>
      <c r="K1" s="40"/>
    </row>
    <row r="2" spans="1:11" x14ac:dyDescent="0.2">
      <c r="A2" s="1" t="s">
        <v>159</v>
      </c>
      <c r="B2">
        <v>1</v>
      </c>
      <c r="C2" t="s">
        <v>368</v>
      </c>
      <c r="D2" t="s">
        <v>354</v>
      </c>
      <c r="F2" t="s">
        <v>840</v>
      </c>
      <c r="G2" t="s">
        <v>4</v>
      </c>
      <c r="H2" t="s">
        <v>840</v>
      </c>
      <c r="I2" t="s">
        <v>841</v>
      </c>
    </row>
    <row r="3" spans="1:11" x14ac:dyDescent="0.2">
      <c r="A3" s="1" t="s">
        <v>456</v>
      </c>
      <c r="B3">
        <v>1</v>
      </c>
      <c r="C3" t="s">
        <v>457</v>
      </c>
      <c r="D3" t="s">
        <v>426</v>
      </c>
      <c r="F3" t="s">
        <v>832</v>
      </c>
      <c r="G3" t="s">
        <v>4</v>
      </c>
      <c r="H3" t="s">
        <v>815</v>
      </c>
      <c r="I3" t="s">
        <v>816</v>
      </c>
    </row>
    <row r="4" spans="1:11" x14ac:dyDescent="0.2">
      <c r="A4" s="1" t="s">
        <v>369</v>
      </c>
      <c r="B4">
        <v>2</v>
      </c>
      <c r="C4" t="s">
        <v>79</v>
      </c>
      <c r="D4" t="s">
        <v>354</v>
      </c>
      <c r="F4" t="s">
        <v>370</v>
      </c>
      <c r="G4" t="s">
        <v>65</v>
      </c>
      <c r="H4" t="s">
        <v>371</v>
      </c>
      <c r="I4" t="s">
        <v>372</v>
      </c>
    </row>
    <row r="5" spans="1:11" x14ac:dyDescent="0.2">
      <c r="A5" s="1" t="s">
        <v>442</v>
      </c>
      <c r="B5">
        <v>3</v>
      </c>
      <c r="C5" t="s">
        <v>83</v>
      </c>
      <c r="D5" t="s">
        <v>426</v>
      </c>
      <c r="F5" t="s">
        <v>443</v>
      </c>
      <c r="G5" t="s">
        <v>4</v>
      </c>
      <c r="H5" t="s">
        <v>444</v>
      </c>
      <c r="I5" t="s">
        <v>445</v>
      </c>
    </row>
    <row r="6" spans="1:11" x14ac:dyDescent="0.2">
      <c r="A6" s="1" t="s">
        <v>448</v>
      </c>
      <c r="B6">
        <v>1</v>
      </c>
      <c r="C6" t="s">
        <v>449</v>
      </c>
      <c r="D6" t="s">
        <v>426</v>
      </c>
      <c r="F6" t="s">
        <v>450</v>
      </c>
      <c r="G6" t="s">
        <v>451</v>
      </c>
      <c r="H6" t="s">
        <v>452</v>
      </c>
      <c r="I6" t="s">
        <v>453</v>
      </c>
    </row>
    <row r="7" spans="1:11" x14ac:dyDescent="0.2">
      <c r="A7" s="1" t="s">
        <v>340</v>
      </c>
      <c r="B7">
        <v>1</v>
      </c>
      <c r="C7" t="s">
        <v>341</v>
      </c>
      <c r="D7" t="s">
        <v>342</v>
      </c>
      <c r="F7" t="s">
        <v>343</v>
      </c>
      <c r="G7" t="s">
        <v>344</v>
      </c>
      <c r="H7" t="s">
        <v>345</v>
      </c>
      <c r="I7" t="s">
        <v>346</v>
      </c>
    </row>
    <row r="8" spans="1:11" x14ac:dyDescent="0.2">
      <c r="A8" s="1" t="s">
        <v>391</v>
      </c>
      <c r="B8">
        <v>1</v>
      </c>
      <c r="C8" t="s">
        <v>392</v>
      </c>
      <c r="D8" t="s">
        <v>393</v>
      </c>
      <c r="E8" t="s">
        <v>394</v>
      </c>
      <c r="F8" t="s">
        <v>806</v>
      </c>
      <c r="G8" t="s">
        <v>253</v>
      </c>
      <c r="H8" t="s">
        <v>392</v>
      </c>
      <c r="I8" t="s">
        <v>807</v>
      </c>
    </row>
    <row r="9" spans="1:11" x14ac:dyDescent="0.2">
      <c r="A9" s="1" t="s">
        <v>256</v>
      </c>
      <c r="B9">
        <v>1</v>
      </c>
      <c r="C9" t="s">
        <v>465</v>
      </c>
      <c r="D9" t="s">
        <v>466</v>
      </c>
      <c r="E9" t="s">
        <v>467</v>
      </c>
      <c r="F9" t="s">
        <v>632</v>
      </c>
      <c r="G9" t="s">
        <v>780</v>
      </c>
      <c r="H9" t="s">
        <v>633</v>
      </c>
      <c r="I9" t="s">
        <v>468</v>
      </c>
    </row>
    <row r="10" spans="1:11" x14ac:dyDescent="0.2">
      <c r="A10" s="1" t="s">
        <v>427</v>
      </c>
      <c r="B10">
        <v>2</v>
      </c>
      <c r="C10" t="s">
        <v>428</v>
      </c>
      <c r="D10" t="s">
        <v>426</v>
      </c>
      <c r="F10" t="s">
        <v>429</v>
      </c>
      <c r="G10" t="s">
        <v>5</v>
      </c>
      <c r="H10" t="s">
        <v>430</v>
      </c>
      <c r="I10" t="s">
        <v>431</v>
      </c>
    </row>
    <row r="11" spans="1:11" x14ac:dyDescent="0.2">
      <c r="A11" s="1" t="s">
        <v>360</v>
      </c>
      <c r="B11">
        <v>11</v>
      </c>
      <c r="C11" t="s">
        <v>77</v>
      </c>
      <c r="D11" t="s">
        <v>354</v>
      </c>
      <c r="F11" t="s">
        <v>361</v>
      </c>
      <c r="G11" t="s">
        <v>4</v>
      </c>
      <c r="H11" t="s">
        <v>362</v>
      </c>
      <c r="I11" t="s">
        <v>363</v>
      </c>
    </row>
    <row r="12" spans="1:11" x14ac:dyDescent="0.2">
      <c r="A12" s="1" t="s">
        <v>432</v>
      </c>
      <c r="B12">
        <v>3</v>
      </c>
      <c r="C12">
        <v>470</v>
      </c>
      <c r="D12" t="s">
        <v>426</v>
      </c>
      <c r="F12" t="s">
        <v>606</v>
      </c>
      <c r="G12" t="s">
        <v>608</v>
      </c>
      <c r="H12" t="s">
        <v>607</v>
      </c>
      <c r="I12" t="s">
        <v>837</v>
      </c>
    </row>
    <row r="13" spans="1:11" x14ac:dyDescent="0.2">
      <c r="A13" s="1" t="s">
        <v>375</v>
      </c>
      <c r="B13">
        <v>1</v>
      </c>
      <c r="C13" t="s">
        <v>78</v>
      </c>
      <c r="D13" t="s">
        <v>354</v>
      </c>
      <c r="F13" t="s">
        <v>376</v>
      </c>
      <c r="G13" t="s">
        <v>377</v>
      </c>
      <c r="H13" t="s">
        <v>378</v>
      </c>
      <c r="I13" t="s">
        <v>379</v>
      </c>
    </row>
    <row r="14" spans="1:11" x14ac:dyDescent="0.2">
      <c r="A14" s="1" t="s">
        <v>175</v>
      </c>
      <c r="B14">
        <v>1</v>
      </c>
      <c r="C14" t="s">
        <v>49</v>
      </c>
      <c r="D14" t="s">
        <v>418</v>
      </c>
      <c r="E14" t="s">
        <v>419</v>
      </c>
      <c r="F14" t="s">
        <v>316</v>
      </c>
      <c r="G14" t="s">
        <v>268</v>
      </c>
      <c r="H14" t="s">
        <v>420</v>
      </c>
      <c r="I14" t="s">
        <v>421</v>
      </c>
    </row>
    <row r="15" spans="1:11" x14ac:dyDescent="0.2">
      <c r="A15" s="1" t="s">
        <v>382</v>
      </c>
      <c r="B15">
        <v>2</v>
      </c>
      <c r="C15" t="s">
        <v>89</v>
      </c>
      <c r="D15" t="s">
        <v>354</v>
      </c>
      <c r="F15" t="s">
        <v>803</v>
      </c>
      <c r="G15" t="s">
        <v>435</v>
      </c>
      <c r="H15" t="s">
        <v>804</v>
      </c>
      <c r="I15" t="s">
        <v>833</v>
      </c>
    </row>
    <row r="16" spans="1:11" x14ac:dyDescent="0.2">
      <c r="A16" s="1" t="s">
        <v>347</v>
      </c>
      <c r="B16">
        <v>1</v>
      </c>
      <c r="C16" t="s">
        <v>348</v>
      </c>
      <c r="D16" t="s">
        <v>349</v>
      </c>
      <c r="E16" t="s">
        <v>350</v>
      </c>
      <c r="F16" t="s">
        <v>351</v>
      </c>
      <c r="G16" t="s">
        <v>352</v>
      </c>
      <c r="H16" t="s">
        <v>348</v>
      </c>
      <c r="I16" t="s">
        <v>353</v>
      </c>
    </row>
    <row r="17" spans="1:9" x14ac:dyDescent="0.2">
      <c r="A17" s="1" t="s">
        <v>254</v>
      </c>
      <c r="B17">
        <v>1</v>
      </c>
      <c r="C17" t="s">
        <v>23</v>
      </c>
      <c r="D17" t="s">
        <v>462</v>
      </c>
      <c r="E17" t="s">
        <v>463</v>
      </c>
      <c r="F17" t="s">
        <v>674</v>
      </c>
      <c r="G17" t="s">
        <v>675</v>
      </c>
      <c r="H17" t="s">
        <v>23</v>
      </c>
      <c r="I17" t="s">
        <v>464</v>
      </c>
    </row>
    <row r="18" spans="1:9" x14ac:dyDescent="0.2">
      <c r="A18" s="1" t="s">
        <v>386</v>
      </c>
      <c r="B18">
        <v>1</v>
      </c>
      <c r="C18" t="s">
        <v>255</v>
      </c>
      <c r="D18" t="s">
        <v>387</v>
      </c>
      <c r="E18" t="s">
        <v>388</v>
      </c>
      <c r="F18" t="s">
        <v>304</v>
      </c>
      <c r="G18" t="s">
        <v>31</v>
      </c>
      <c r="H18" t="s">
        <v>255</v>
      </c>
      <c r="I18" t="s">
        <v>827</v>
      </c>
    </row>
    <row r="19" spans="1:9" x14ac:dyDescent="0.2">
      <c r="A19" s="1" t="s">
        <v>390</v>
      </c>
      <c r="B19">
        <v>3</v>
      </c>
      <c r="C19" t="s">
        <v>389</v>
      </c>
      <c r="D19" t="s">
        <v>387</v>
      </c>
      <c r="E19" t="s">
        <v>388</v>
      </c>
      <c r="F19" t="s">
        <v>304</v>
      </c>
      <c r="G19" t="s">
        <v>31</v>
      </c>
      <c r="H19" t="s">
        <v>255</v>
      </c>
      <c r="I19" t="s">
        <v>829</v>
      </c>
    </row>
    <row r="20" spans="1:9" x14ac:dyDescent="0.2">
      <c r="A20" s="1" t="s">
        <v>440</v>
      </c>
      <c r="B20">
        <v>1</v>
      </c>
      <c r="C20" t="s">
        <v>441</v>
      </c>
      <c r="D20" t="s">
        <v>426</v>
      </c>
      <c r="F20" t="s">
        <v>808</v>
      </c>
      <c r="G20" t="s">
        <v>4</v>
      </c>
      <c r="H20" t="s">
        <v>809</v>
      </c>
      <c r="I20" t="s">
        <v>810</v>
      </c>
    </row>
    <row r="21" spans="1:9" x14ac:dyDescent="0.2">
      <c r="A21" s="1" t="s">
        <v>169</v>
      </c>
      <c r="B21">
        <v>1</v>
      </c>
      <c r="C21" t="s">
        <v>395</v>
      </c>
      <c r="D21" t="s">
        <v>396</v>
      </c>
      <c r="F21" s="47" t="s">
        <v>615</v>
      </c>
      <c r="G21" s="47" t="s">
        <v>521</v>
      </c>
      <c r="H21" s="47" t="s">
        <v>616</v>
      </c>
      <c r="I21" s="47" t="s">
        <v>617</v>
      </c>
    </row>
    <row r="22" spans="1:9" x14ac:dyDescent="0.2">
      <c r="A22" s="1" t="s">
        <v>422</v>
      </c>
      <c r="B22">
        <v>2</v>
      </c>
      <c r="C22" t="s">
        <v>423</v>
      </c>
      <c r="E22" t="s">
        <v>424</v>
      </c>
      <c r="F22" t="s">
        <v>824</v>
      </c>
      <c r="G22" t="s">
        <v>825</v>
      </c>
      <c r="H22" t="s">
        <v>826</v>
      </c>
      <c r="I22" t="s">
        <v>828</v>
      </c>
    </row>
    <row r="23" spans="1:9" x14ac:dyDescent="0.2">
      <c r="A23" s="1" t="s">
        <v>433</v>
      </c>
      <c r="B23">
        <v>4</v>
      </c>
      <c r="C23" t="s">
        <v>84</v>
      </c>
      <c r="D23" t="s">
        <v>426</v>
      </c>
      <c r="F23" t="s">
        <v>434</v>
      </c>
      <c r="G23" t="s">
        <v>435</v>
      </c>
      <c r="H23" t="s">
        <v>436</v>
      </c>
      <c r="I23" t="s">
        <v>437</v>
      </c>
    </row>
    <row r="24" spans="1:9" x14ac:dyDescent="0.2">
      <c r="A24" s="1" t="s">
        <v>259</v>
      </c>
      <c r="B24">
        <v>1</v>
      </c>
      <c r="C24" t="s">
        <v>261</v>
      </c>
      <c r="D24" t="s">
        <v>469</v>
      </c>
      <c r="E24" t="s">
        <v>470</v>
      </c>
      <c r="F24" t="s">
        <v>309</v>
      </c>
      <c r="G24" t="s">
        <v>31</v>
      </c>
      <c r="H24" t="s">
        <v>261</v>
      </c>
      <c r="I24" t="s">
        <v>471</v>
      </c>
    </row>
    <row r="25" spans="1:9" x14ac:dyDescent="0.2">
      <c r="A25" s="1" t="s">
        <v>454</v>
      </c>
      <c r="B25">
        <v>3</v>
      </c>
      <c r="C25" t="s">
        <v>455</v>
      </c>
      <c r="D25" t="s">
        <v>426</v>
      </c>
      <c r="F25" t="s">
        <v>831</v>
      </c>
      <c r="G25" t="s">
        <v>4</v>
      </c>
      <c r="H25" t="s">
        <v>813</v>
      </c>
      <c r="I25" t="s">
        <v>814</v>
      </c>
    </row>
    <row r="26" spans="1:9" x14ac:dyDescent="0.2">
      <c r="A26" s="1" t="s">
        <v>446</v>
      </c>
      <c r="B26">
        <v>1</v>
      </c>
      <c r="C26" t="s">
        <v>447</v>
      </c>
      <c r="D26" t="s">
        <v>426</v>
      </c>
      <c r="F26" t="s">
        <v>830</v>
      </c>
      <c r="G26" t="s">
        <v>4</v>
      </c>
      <c r="H26" t="s">
        <v>811</v>
      </c>
      <c r="I26" t="s">
        <v>812</v>
      </c>
    </row>
    <row r="27" spans="1:9" x14ac:dyDescent="0.2">
      <c r="A27" s="1" t="s">
        <v>248</v>
      </c>
      <c r="B27">
        <v>1</v>
      </c>
      <c r="C27" t="s">
        <v>89</v>
      </c>
      <c r="D27" t="s">
        <v>412</v>
      </c>
      <c r="F27" t="s">
        <v>293</v>
      </c>
      <c r="G27" t="s">
        <v>413</v>
      </c>
      <c r="H27" t="s">
        <v>291</v>
      </c>
      <c r="I27" t="s">
        <v>414</v>
      </c>
    </row>
    <row r="28" spans="1:9" x14ac:dyDescent="0.2">
      <c r="A28" s="1" t="s">
        <v>262</v>
      </c>
      <c r="B28">
        <v>1</v>
      </c>
      <c r="C28" t="s">
        <v>330</v>
      </c>
      <c r="D28" t="s">
        <v>469</v>
      </c>
      <c r="E28" t="s">
        <v>472</v>
      </c>
      <c r="F28" t="s">
        <v>311</v>
      </c>
      <c r="G28" t="s">
        <v>258</v>
      </c>
      <c r="H28" t="s">
        <v>264</v>
      </c>
      <c r="I28" t="s">
        <v>820</v>
      </c>
    </row>
    <row r="29" spans="1:9" x14ac:dyDescent="0.2">
      <c r="A29" s="1" t="s">
        <v>152</v>
      </c>
      <c r="B29">
        <v>1</v>
      </c>
      <c r="C29" t="s">
        <v>76</v>
      </c>
      <c r="D29" t="s">
        <v>354</v>
      </c>
      <c r="F29" t="s">
        <v>355</v>
      </c>
      <c r="G29" t="s">
        <v>356</v>
      </c>
      <c r="H29" t="s">
        <v>357</v>
      </c>
      <c r="I29" t="s">
        <v>358</v>
      </c>
    </row>
    <row r="30" spans="1:9" x14ac:dyDescent="0.2">
      <c r="A30" s="1" t="s">
        <v>473</v>
      </c>
      <c r="B30">
        <v>1</v>
      </c>
      <c r="C30" t="s">
        <v>474</v>
      </c>
      <c r="D30" t="s">
        <v>475</v>
      </c>
      <c r="F30" t="s">
        <v>821</v>
      </c>
      <c r="G30" t="s">
        <v>266</v>
      </c>
      <c r="H30" t="s">
        <v>822</v>
      </c>
      <c r="I30" t="s">
        <v>823</v>
      </c>
    </row>
    <row r="31" spans="1:9" x14ac:dyDescent="0.2">
      <c r="A31" s="1" t="s">
        <v>383</v>
      </c>
      <c r="B31">
        <v>1</v>
      </c>
      <c r="C31" t="s">
        <v>384</v>
      </c>
      <c r="D31" t="s">
        <v>354</v>
      </c>
      <c r="F31" t="s">
        <v>834</v>
      </c>
      <c r="G31" t="s">
        <v>4</v>
      </c>
      <c r="H31" t="s">
        <v>835</v>
      </c>
      <c r="I31" t="s">
        <v>836</v>
      </c>
    </row>
    <row r="32" spans="1:9" x14ac:dyDescent="0.2">
      <c r="A32" s="1" t="s">
        <v>438</v>
      </c>
      <c r="B32">
        <v>1</v>
      </c>
      <c r="C32" t="s">
        <v>439</v>
      </c>
      <c r="D32" t="s">
        <v>426</v>
      </c>
      <c r="F32" t="s">
        <v>817</v>
      </c>
      <c r="G32" t="s">
        <v>4</v>
      </c>
      <c r="H32" t="s">
        <v>818</v>
      </c>
      <c r="I32" t="s">
        <v>819</v>
      </c>
    </row>
    <row r="33" spans="1:9" x14ac:dyDescent="0.2">
      <c r="A33" s="1" t="s">
        <v>366</v>
      </c>
      <c r="B33">
        <v>2</v>
      </c>
      <c r="C33" t="s">
        <v>367</v>
      </c>
      <c r="D33" t="s">
        <v>354</v>
      </c>
      <c r="F33" t="s">
        <v>838</v>
      </c>
      <c r="G33" t="s">
        <v>4</v>
      </c>
      <c r="H33" t="s">
        <v>805</v>
      </c>
      <c r="I33" t="s">
        <v>839</v>
      </c>
    </row>
    <row r="34" spans="1:9" x14ac:dyDescent="0.2">
      <c r="A34" s="1" t="s">
        <v>425</v>
      </c>
      <c r="B34">
        <v>4</v>
      </c>
      <c r="C34" t="s">
        <v>82</v>
      </c>
      <c r="D34" t="s">
        <v>426</v>
      </c>
      <c r="F34" t="s">
        <v>642</v>
      </c>
      <c r="G34" t="s">
        <v>4</v>
      </c>
      <c r="H34" t="s">
        <v>643</v>
      </c>
      <c r="I34" t="s">
        <v>845</v>
      </c>
    </row>
    <row r="35" spans="1:9" x14ac:dyDescent="0.2">
      <c r="A35" s="1" t="s">
        <v>373</v>
      </c>
      <c r="B35">
        <v>1</v>
      </c>
      <c r="C35" t="s">
        <v>374</v>
      </c>
      <c r="D35" t="s">
        <v>354</v>
      </c>
      <c r="F35" t="s">
        <v>842</v>
      </c>
      <c r="G35" t="s">
        <v>846</v>
      </c>
      <c r="H35" t="s">
        <v>844</v>
      </c>
      <c r="I35" t="s">
        <v>843</v>
      </c>
    </row>
    <row r="36" spans="1:9" x14ac:dyDescent="0.2">
      <c r="A36" s="1" t="s">
        <v>153</v>
      </c>
      <c r="B36">
        <v>1</v>
      </c>
      <c r="C36" t="s">
        <v>76</v>
      </c>
      <c r="D36" t="s">
        <v>359</v>
      </c>
      <c r="F36" t="s">
        <v>848</v>
      </c>
      <c r="G36" t="s">
        <v>4</v>
      </c>
      <c r="H36" t="s">
        <v>847</v>
      </c>
      <c r="I36" t="s">
        <v>849</v>
      </c>
    </row>
    <row r="37" spans="1:9" x14ac:dyDescent="0.2">
      <c r="A37" s="1" t="s">
        <v>380</v>
      </c>
      <c r="B37">
        <v>1</v>
      </c>
      <c r="C37" t="s">
        <v>381</v>
      </c>
      <c r="D37" t="s">
        <v>354</v>
      </c>
      <c r="F37" t="s">
        <v>851</v>
      </c>
      <c r="G37" t="s">
        <v>4</v>
      </c>
      <c r="H37" t="s">
        <v>850</v>
      </c>
      <c r="I37" t="s">
        <v>852</v>
      </c>
    </row>
    <row r="38" spans="1:9" x14ac:dyDescent="0.2">
      <c r="A38" s="1" t="s">
        <v>155</v>
      </c>
      <c r="B38">
        <v>1</v>
      </c>
      <c r="C38" t="s">
        <v>364</v>
      </c>
      <c r="D38" t="s">
        <v>354</v>
      </c>
      <c r="F38" t="s">
        <v>853</v>
      </c>
      <c r="I38" t="s">
        <v>365</v>
      </c>
    </row>
    <row r="39" spans="1:9" x14ac:dyDescent="0.2">
      <c r="A39" s="1" t="s">
        <v>385</v>
      </c>
      <c r="B39">
        <v>3</v>
      </c>
      <c r="C39" t="s">
        <v>235</v>
      </c>
      <c r="D39" t="s">
        <v>854</v>
      </c>
      <c r="F39" s="47" t="s">
        <v>620</v>
      </c>
      <c r="G39" s="47" t="s">
        <v>53</v>
      </c>
      <c r="H39" s="47" t="s">
        <v>621</v>
      </c>
      <c r="I39" s="47" t="s">
        <v>622</v>
      </c>
    </row>
    <row r="40" spans="1:9" x14ac:dyDescent="0.2">
      <c r="A40" s="1" t="s">
        <v>170</v>
      </c>
      <c r="B40">
        <v>1</v>
      </c>
      <c r="C40" t="s">
        <v>397</v>
      </c>
      <c r="D40" t="s">
        <v>398</v>
      </c>
      <c r="E40" t="s">
        <v>399</v>
      </c>
      <c r="I40" t="s">
        <v>400</v>
      </c>
    </row>
    <row r="41" spans="1:9" x14ac:dyDescent="0.2">
      <c r="A41" s="1" t="s">
        <v>401</v>
      </c>
      <c r="B41">
        <v>1</v>
      </c>
      <c r="C41" t="s">
        <v>402</v>
      </c>
      <c r="D41" t="s">
        <v>403</v>
      </c>
      <c r="I41" t="s">
        <v>404</v>
      </c>
    </row>
    <row r="42" spans="1:9" x14ac:dyDescent="0.2">
      <c r="A42" s="1" t="s">
        <v>405</v>
      </c>
      <c r="B42">
        <v>1</v>
      </c>
      <c r="C42" t="s">
        <v>406</v>
      </c>
      <c r="D42" t="s">
        <v>407</v>
      </c>
      <c r="I42" t="s">
        <v>408</v>
      </c>
    </row>
    <row r="43" spans="1:9" x14ac:dyDescent="0.2">
      <c r="A43" s="1" t="s">
        <v>409</v>
      </c>
      <c r="B43">
        <v>2</v>
      </c>
      <c r="C43" t="s">
        <v>410</v>
      </c>
      <c r="D43" t="s">
        <v>411</v>
      </c>
      <c r="F43" t="s">
        <v>857</v>
      </c>
      <c r="G43" t="s">
        <v>846</v>
      </c>
      <c r="H43" t="s">
        <v>855</v>
      </c>
      <c r="I43" t="s">
        <v>856</v>
      </c>
    </row>
    <row r="44" spans="1:9" x14ac:dyDescent="0.2">
      <c r="A44" s="1" t="s">
        <v>415</v>
      </c>
      <c r="B44">
        <v>1</v>
      </c>
      <c r="C44" t="s">
        <v>416</v>
      </c>
      <c r="D44">
        <v>402</v>
      </c>
      <c r="F44" t="s">
        <v>861</v>
      </c>
      <c r="G44" t="s">
        <v>858</v>
      </c>
      <c r="H44" t="s">
        <v>859</v>
      </c>
      <c r="I44" t="s">
        <v>860</v>
      </c>
    </row>
    <row r="45" spans="1:9" x14ac:dyDescent="0.2">
      <c r="A45" s="1" t="s">
        <v>417</v>
      </c>
      <c r="B45">
        <v>1</v>
      </c>
      <c r="C45" t="s">
        <v>79</v>
      </c>
      <c r="D45">
        <v>603</v>
      </c>
      <c r="F45" t="s">
        <v>864</v>
      </c>
      <c r="G45" t="s">
        <v>865</v>
      </c>
      <c r="H45" t="s">
        <v>862</v>
      </c>
      <c r="I45" t="s">
        <v>863</v>
      </c>
    </row>
    <row r="46" spans="1:9" x14ac:dyDescent="0.2">
      <c r="A46" s="1" t="s">
        <v>458</v>
      </c>
      <c r="B46">
        <v>4</v>
      </c>
      <c r="C46" t="s">
        <v>459</v>
      </c>
      <c r="D46" t="s">
        <v>460</v>
      </c>
      <c r="I46" t="s">
        <v>461</v>
      </c>
    </row>
    <row r="53" spans="4:5" x14ac:dyDescent="0.2">
      <c r="D53" s="47"/>
      <c r="E53" s="47"/>
    </row>
    <row r="56" spans="4:5" x14ac:dyDescent="0.2">
      <c r="D56" s="47"/>
      <c r="E56" s="47"/>
    </row>
  </sheetData>
  <autoFilter ref="A1:I1" xr:uid="{CB182CE8-6328-574F-84CA-162C8ACED3C7}">
    <sortState xmlns:xlrd2="http://schemas.microsoft.com/office/spreadsheetml/2017/richdata2" ref="A2:I46">
      <sortCondition descending="1" ref="F1:F46"/>
    </sortState>
  </autoFilter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A2C6-364B-8749-85C8-6D04B115DF41}">
  <dimension ref="A1:M65"/>
  <sheetViews>
    <sheetView zoomScaleNormal="100" workbookViewId="0">
      <selection activeCell="A24" sqref="A24:F24"/>
    </sheetView>
  </sheetViews>
  <sheetFormatPr baseColWidth="10" defaultRowHeight="15" x14ac:dyDescent="0.2"/>
  <cols>
    <col min="1" max="1" width="14.83203125" bestFit="1" customWidth="1"/>
    <col min="2" max="2" width="22.83203125" bestFit="1" customWidth="1"/>
    <col min="3" max="3" width="32" bestFit="1" customWidth="1"/>
    <col min="4" max="4" width="11.6640625" bestFit="1" customWidth="1"/>
    <col min="5" max="5" width="33.6640625" bestFit="1" customWidth="1"/>
    <col min="6" max="6" width="90.33203125" bestFit="1" customWidth="1"/>
    <col min="7" max="7" width="5.1640625" bestFit="1" customWidth="1"/>
    <col min="8" max="8" width="7.83203125" bestFit="1" customWidth="1"/>
    <col min="9" max="9" width="10.6640625" bestFit="1" customWidth="1"/>
    <col min="10" max="10" width="9.83203125" bestFit="1" customWidth="1"/>
    <col min="11" max="11" width="27.83203125" bestFit="1" customWidth="1"/>
    <col min="12" max="12" width="15" bestFit="1" customWidth="1"/>
    <col min="13" max="13" width="15.6640625" bestFit="1" customWidth="1"/>
  </cols>
  <sheetData>
    <row r="1" spans="1:13" x14ac:dyDescent="0.2">
      <c r="A1" s="47" t="s">
        <v>476</v>
      </c>
      <c r="B1" s="47" t="s">
        <v>477</v>
      </c>
      <c r="C1" s="47" t="s">
        <v>243</v>
      </c>
      <c r="D1" s="47" t="s">
        <v>478</v>
      </c>
      <c r="E1" s="47" t="s">
        <v>241</v>
      </c>
      <c r="F1" s="47" t="s">
        <v>237</v>
      </c>
      <c r="G1" s="47" t="s">
        <v>479</v>
      </c>
      <c r="H1" s="47" t="s">
        <v>480</v>
      </c>
      <c r="I1" s="47" t="s">
        <v>481</v>
      </c>
      <c r="J1" s="47" t="s">
        <v>482</v>
      </c>
      <c r="K1" s="47" t="s">
        <v>483</v>
      </c>
      <c r="L1" s="47" t="s">
        <v>484</v>
      </c>
      <c r="M1" s="47" t="s">
        <v>485</v>
      </c>
    </row>
    <row r="2" spans="1:13" x14ac:dyDescent="0.2">
      <c r="A2" s="47" t="s">
        <v>486</v>
      </c>
      <c r="B2" s="47" t="s">
        <v>487</v>
      </c>
      <c r="C2" s="47" t="s">
        <v>488</v>
      </c>
      <c r="D2" s="47"/>
      <c r="E2" s="47" t="s">
        <v>489</v>
      </c>
      <c r="F2" s="47" t="s">
        <v>490</v>
      </c>
      <c r="G2" s="47" t="s">
        <v>491</v>
      </c>
      <c r="H2" s="47">
        <v>5</v>
      </c>
      <c r="I2" s="47" t="s">
        <v>492</v>
      </c>
      <c r="J2" s="47" t="s">
        <v>493</v>
      </c>
      <c r="K2" s="47"/>
      <c r="L2" s="47"/>
      <c r="M2" s="47"/>
    </row>
    <row r="3" spans="1:13" x14ac:dyDescent="0.2">
      <c r="A3" s="47" t="s">
        <v>494</v>
      </c>
      <c r="B3" s="47" t="s">
        <v>495</v>
      </c>
      <c r="C3" s="47" t="s">
        <v>451</v>
      </c>
      <c r="D3" s="47"/>
      <c r="E3" s="47">
        <v>805</v>
      </c>
      <c r="F3" s="47" t="s">
        <v>496</v>
      </c>
      <c r="G3" s="47" t="s">
        <v>491</v>
      </c>
      <c r="H3" s="47">
        <v>100</v>
      </c>
      <c r="I3" s="47" t="s">
        <v>497</v>
      </c>
      <c r="J3" s="47" t="s">
        <v>498</v>
      </c>
      <c r="K3" s="47"/>
      <c r="L3" s="47"/>
      <c r="M3" s="47"/>
    </row>
    <row r="4" spans="1:13" x14ac:dyDescent="0.2">
      <c r="A4" s="47" t="s">
        <v>499</v>
      </c>
      <c r="B4" s="47" t="s">
        <v>500</v>
      </c>
      <c r="C4" s="47" t="s">
        <v>501</v>
      </c>
      <c r="D4" s="47"/>
      <c r="E4" s="47">
        <v>603</v>
      </c>
      <c r="F4" s="47" t="s">
        <v>502</v>
      </c>
      <c r="G4" s="47" t="s">
        <v>491</v>
      </c>
      <c r="H4" s="47">
        <v>100</v>
      </c>
      <c r="I4" s="47" t="s">
        <v>503</v>
      </c>
      <c r="J4" s="47" t="s">
        <v>504</v>
      </c>
      <c r="K4" s="47"/>
      <c r="L4" s="47"/>
      <c r="M4" s="47"/>
    </row>
    <row r="5" spans="1:13" x14ac:dyDescent="0.2">
      <c r="A5" s="47" t="s">
        <v>505</v>
      </c>
      <c r="B5" s="47" t="s">
        <v>506</v>
      </c>
      <c r="C5" s="47" t="s">
        <v>507</v>
      </c>
      <c r="D5" s="47"/>
      <c r="E5" s="47" t="s">
        <v>508</v>
      </c>
      <c r="F5" s="47" t="s">
        <v>509</v>
      </c>
      <c r="G5" s="47" t="s">
        <v>491</v>
      </c>
      <c r="H5" s="47">
        <v>5</v>
      </c>
      <c r="I5" s="47" t="s">
        <v>510</v>
      </c>
      <c r="J5" s="47" t="s">
        <v>511</v>
      </c>
      <c r="K5" s="47"/>
      <c r="L5" s="47"/>
      <c r="M5" s="47"/>
    </row>
    <row r="6" spans="1:13" x14ac:dyDescent="0.2">
      <c r="A6" s="47" t="s">
        <v>512</v>
      </c>
      <c r="B6" s="47" t="s">
        <v>513</v>
      </c>
      <c r="C6" s="47" t="s">
        <v>514</v>
      </c>
      <c r="D6" s="47"/>
      <c r="E6" s="47" t="s">
        <v>515</v>
      </c>
      <c r="F6" s="47" t="s">
        <v>516</v>
      </c>
      <c r="G6" s="47" t="s">
        <v>491</v>
      </c>
      <c r="H6" s="47">
        <v>100</v>
      </c>
      <c r="I6" s="47" t="s">
        <v>517</v>
      </c>
      <c r="J6" s="47" t="s">
        <v>518</v>
      </c>
      <c r="K6" s="47"/>
      <c r="L6" s="47"/>
      <c r="M6" s="47"/>
    </row>
    <row r="7" spans="1:13" x14ac:dyDescent="0.2">
      <c r="A7" s="47" t="s">
        <v>519</v>
      </c>
      <c r="B7" s="47" t="s">
        <v>520</v>
      </c>
      <c r="C7" s="47" t="s">
        <v>521</v>
      </c>
      <c r="D7" s="47"/>
      <c r="E7" s="47" t="s">
        <v>508</v>
      </c>
      <c r="F7" s="47" t="s">
        <v>522</v>
      </c>
      <c r="G7" s="47" t="s">
        <v>491</v>
      </c>
      <c r="H7" s="47">
        <v>10</v>
      </c>
      <c r="I7" s="47" t="s">
        <v>523</v>
      </c>
      <c r="J7" s="47" t="s">
        <v>524</v>
      </c>
      <c r="K7" s="47"/>
      <c r="L7" s="47"/>
      <c r="M7" s="47"/>
    </row>
    <row r="8" spans="1:13" x14ac:dyDescent="0.2">
      <c r="A8" s="47" t="s">
        <v>525</v>
      </c>
      <c r="B8" s="47" t="s">
        <v>526</v>
      </c>
      <c r="C8" s="47" t="s">
        <v>527</v>
      </c>
      <c r="D8" s="47"/>
      <c r="E8" s="47">
        <v>805</v>
      </c>
      <c r="F8" s="47" t="s">
        <v>528</v>
      </c>
      <c r="G8" s="47" t="s">
        <v>491</v>
      </c>
      <c r="H8" s="47">
        <v>50</v>
      </c>
      <c r="I8" s="47" t="s">
        <v>529</v>
      </c>
      <c r="J8" s="47" t="s">
        <v>530</v>
      </c>
      <c r="K8" s="47"/>
      <c r="L8" s="47"/>
      <c r="M8" s="47"/>
    </row>
    <row r="9" spans="1:13" x14ac:dyDescent="0.2">
      <c r="A9" s="47" t="s">
        <v>531</v>
      </c>
      <c r="B9" s="47" t="s">
        <v>532</v>
      </c>
      <c r="C9" s="47" t="s">
        <v>533</v>
      </c>
      <c r="D9" s="47"/>
      <c r="E9" s="47" t="s">
        <v>515</v>
      </c>
      <c r="F9" s="47" t="s">
        <v>534</v>
      </c>
      <c r="G9" s="47" t="s">
        <v>491</v>
      </c>
      <c r="H9" s="47">
        <v>50</v>
      </c>
      <c r="I9" s="47" t="s">
        <v>535</v>
      </c>
      <c r="J9" s="47" t="s">
        <v>536</v>
      </c>
      <c r="K9" s="47"/>
      <c r="L9" s="47"/>
      <c r="M9" s="47"/>
    </row>
    <row r="10" spans="1:13" x14ac:dyDescent="0.2">
      <c r="A10" s="47" t="s">
        <v>537</v>
      </c>
      <c r="B10" s="47" t="s">
        <v>538</v>
      </c>
      <c r="C10" s="47" t="s">
        <v>539</v>
      </c>
      <c r="D10" s="47"/>
      <c r="E10" s="47" t="s">
        <v>540</v>
      </c>
      <c r="F10" s="47" t="s">
        <v>541</v>
      </c>
      <c r="G10" s="47" t="s">
        <v>491</v>
      </c>
      <c r="H10" s="47">
        <v>5</v>
      </c>
      <c r="I10" s="47" t="s">
        <v>542</v>
      </c>
      <c r="J10" s="47" t="s">
        <v>543</v>
      </c>
      <c r="K10" s="47"/>
      <c r="L10" s="47"/>
      <c r="M10" s="47"/>
    </row>
    <row r="11" spans="1:13" x14ac:dyDescent="0.2">
      <c r="A11" s="47" t="s">
        <v>544</v>
      </c>
      <c r="B11" s="47" t="s">
        <v>545</v>
      </c>
      <c r="C11" s="47" t="s">
        <v>546</v>
      </c>
      <c r="D11" s="47"/>
      <c r="E11" s="47">
        <v>805</v>
      </c>
      <c r="F11" s="47" t="s">
        <v>547</v>
      </c>
      <c r="G11" s="47" t="s">
        <v>491</v>
      </c>
      <c r="H11" s="47">
        <v>20</v>
      </c>
      <c r="I11" s="47" t="s">
        <v>548</v>
      </c>
      <c r="J11" s="47" t="s">
        <v>549</v>
      </c>
      <c r="K11" s="47"/>
      <c r="L11" s="47"/>
      <c r="M11" s="47"/>
    </row>
    <row r="12" spans="1:13" x14ac:dyDescent="0.2">
      <c r="A12" s="47" t="s">
        <v>550</v>
      </c>
      <c r="B12" s="47" t="s">
        <v>551</v>
      </c>
      <c r="C12" s="47" t="s">
        <v>435</v>
      </c>
      <c r="D12" s="47"/>
      <c r="E12" s="47">
        <v>603</v>
      </c>
      <c r="F12" s="47" t="s">
        <v>552</v>
      </c>
      <c r="G12" s="47" t="s">
        <v>491</v>
      </c>
      <c r="H12" s="47">
        <v>100</v>
      </c>
      <c r="I12" s="47" t="s">
        <v>553</v>
      </c>
      <c r="J12" s="47" t="s">
        <v>554</v>
      </c>
      <c r="K12" s="47"/>
      <c r="L12" s="47"/>
      <c r="M12" s="47"/>
    </row>
    <row r="13" spans="1:13" x14ac:dyDescent="0.2">
      <c r="A13" s="47" t="s">
        <v>555</v>
      </c>
      <c r="B13" s="47" t="s">
        <v>556</v>
      </c>
      <c r="C13" s="47" t="s">
        <v>435</v>
      </c>
      <c r="D13" s="47"/>
      <c r="E13" s="47">
        <v>402</v>
      </c>
      <c r="F13" s="47" t="s">
        <v>557</v>
      </c>
      <c r="G13" s="47" t="s">
        <v>491</v>
      </c>
      <c r="H13" s="47">
        <v>100</v>
      </c>
      <c r="I13" s="47" t="s">
        <v>558</v>
      </c>
      <c r="J13" s="47" t="s">
        <v>559</v>
      </c>
      <c r="K13" s="47"/>
      <c r="L13" s="47"/>
      <c r="M13" s="47"/>
    </row>
    <row r="14" spans="1:13" x14ac:dyDescent="0.2">
      <c r="A14" s="47" t="s">
        <v>560</v>
      </c>
      <c r="B14" s="47" t="s">
        <v>561</v>
      </c>
      <c r="C14" s="47" t="s">
        <v>539</v>
      </c>
      <c r="D14" s="47"/>
      <c r="E14" s="47" t="s">
        <v>562</v>
      </c>
      <c r="F14" s="47" t="s">
        <v>563</v>
      </c>
      <c r="G14" s="47" t="s">
        <v>491</v>
      </c>
      <c r="H14" s="47">
        <v>5</v>
      </c>
      <c r="I14" s="47" t="s">
        <v>564</v>
      </c>
      <c r="J14" s="47" t="s">
        <v>565</v>
      </c>
      <c r="K14" s="47"/>
      <c r="L14" s="47"/>
      <c r="M14" s="47"/>
    </row>
    <row r="15" spans="1:13" x14ac:dyDescent="0.2">
      <c r="A15" s="47" t="s">
        <v>566</v>
      </c>
      <c r="B15" s="47" t="s">
        <v>567</v>
      </c>
      <c r="C15" s="47" t="s">
        <v>501</v>
      </c>
      <c r="D15" s="47"/>
      <c r="E15" s="47">
        <v>805</v>
      </c>
      <c r="F15" s="47" t="s">
        <v>568</v>
      </c>
      <c r="G15" s="47" t="s">
        <v>491</v>
      </c>
      <c r="H15" s="47">
        <v>100</v>
      </c>
      <c r="I15" s="47" t="s">
        <v>569</v>
      </c>
      <c r="J15" s="47" t="s">
        <v>570</v>
      </c>
      <c r="K15" s="47"/>
      <c r="L15" s="47"/>
      <c r="M15" s="47"/>
    </row>
    <row r="16" spans="1:13" x14ac:dyDescent="0.2">
      <c r="A16" s="47" t="s">
        <v>571</v>
      </c>
      <c r="B16" s="47" t="s">
        <v>572</v>
      </c>
      <c r="C16" s="47" t="s">
        <v>31</v>
      </c>
      <c r="D16" s="47"/>
      <c r="E16" s="47" t="s">
        <v>573</v>
      </c>
      <c r="F16" s="47" t="s">
        <v>574</v>
      </c>
      <c r="G16" s="47" t="s">
        <v>491</v>
      </c>
      <c r="H16" s="47">
        <v>5</v>
      </c>
      <c r="I16" s="47" t="s">
        <v>575</v>
      </c>
      <c r="J16" s="47" t="s">
        <v>576</v>
      </c>
      <c r="K16" s="47"/>
      <c r="L16" s="47"/>
      <c r="M16" s="47"/>
    </row>
    <row r="17" spans="1:13" x14ac:dyDescent="0.2">
      <c r="A17" s="47" t="s">
        <v>577</v>
      </c>
      <c r="B17" s="47" t="s">
        <v>578</v>
      </c>
      <c r="C17" s="47" t="s">
        <v>579</v>
      </c>
      <c r="D17" s="47"/>
      <c r="E17" s="47" t="s">
        <v>580</v>
      </c>
      <c r="F17" s="47" t="s">
        <v>581</v>
      </c>
      <c r="G17" s="47" t="s">
        <v>491</v>
      </c>
      <c r="H17" s="47">
        <v>10</v>
      </c>
      <c r="I17" s="48">
        <v>30864</v>
      </c>
      <c r="J17" s="47" t="s">
        <v>582</v>
      </c>
      <c r="K17" s="47"/>
      <c r="L17" s="47"/>
      <c r="M17" s="47"/>
    </row>
    <row r="18" spans="1:13" x14ac:dyDescent="0.2">
      <c r="A18" s="47" t="s">
        <v>583</v>
      </c>
      <c r="B18" s="47" t="s">
        <v>584</v>
      </c>
      <c r="C18" s="47" t="s">
        <v>585</v>
      </c>
      <c r="D18" s="47"/>
      <c r="E18" s="47" t="s">
        <v>586</v>
      </c>
      <c r="F18" s="47" t="s">
        <v>587</v>
      </c>
      <c r="G18" s="47" t="s">
        <v>491</v>
      </c>
      <c r="H18" s="47">
        <v>5</v>
      </c>
      <c r="I18" s="47" t="s">
        <v>588</v>
      </c>
      <c r="J18" s="47" t="s">
        <v>589</v>
      </c>
      <c r="K18" s="47"/>
      <c r="L18" s="47"/>
      <c r="M18" s="47"/>
    </row>
    <row r="19" spans="1:13" x14ac:dyDescent="0.2">
      <c r="A19" s="47" t="s">
        <v>590</v>
      </c>
      <c r="B19" s="47" t="s">
        <v>591</v>
      </c>
      <c r="C19" s="47" t="s">
        <v>592</v>
      </c>
      <c r="D19" s="47"/>
      <c r="E19" s="47" t="s">
        <v>593</v>
      </c>
      <c r="F19" s="47" t="s">
        <v>594</v>
      </c>
      <c r="G19" s="47" t="s">
        <v>491</v>
      </c>
      <c r="H19" s="47">
        <v>10</v>
      </c>
      <c r="I19" s="47" t="s">
        <v>595</v>
      </c>
      <c r="J19" s="47" t="s">
        <v>530</v>
      </c>
      <c r="K19" s="47"/>
      <c r="L19" s="47"/>
      <c r="M19" s="47"/>
    </row>
    <row r="20" spans="1:13" x14ac:dyDescent="0.2">
      <c r="A20" s="47" t="s">
        <v>596</v>
      </c>
      <c r="B20" s="47" t="s">
        <v>597</v>
      </c>
      <c r="C20" s="47" t="s">
        <v>598</v>
      </c>
      <c r="D20" s="47"/>
      <c r="E20" s="47">
        <v>603</v>
      </c>
      <c r="F20" s="47" t="s">
        <v>599</v>
      </c>
      <c r="G20" s="47" t="s">
        <v>491</v>
      </c>
      <c r="H20" s="47">
        <v>60</v>
      </c>
      <c r="I20" s="47" t="s">
        <v>600</v>
      </c>
      <c r="J20" s="47" t="s">
        <v>601</v>
      </c>
      <c r="K20" s="47"/>
      <c r="L20" s="47"/>
      <c r="M20" s="47"/>
    </row>
    <row r="21" spans="1:13" x14ac:dyDescent="0.2">
      <c r="A21" s="47" t="s">
        <v>316</v>
      </c>
      <c r="B21" s="47" t="s">
        <v>49</v>
      </c>
      <c r="C21" s="47" t="s">
        <v>268</v>
      </c>
      <c r="D21" s="47"/>
      <c r="E21" s="47" t="s">
        <v>602</v>
      </c>
      <c r="F21" s="47" t="s">
        <v>603</v>
      </c>
      <c r="G21" s="47" t="s">
        <v>491</v>
      </c>
      <c r="H21" s="47">
        <v>200</v>
      </c>
      <c r="I21" s="47" t="s">
        <v>604</v>
      </c>
      <c r="J21" s="47" t="s">
        <v>605</v>
      </c>
      <c r="K21" s="47"/>
      <c r="L21" s="47"/>
      <c r="M21" s="47"/>
    </row>
    <row r="22" spans="1:13" x14ac:dyDescent="0.2">
      <c r="A22" s="47" t="s">
        <v>606</v>
      </c>
      <c r="B22" s="47" t="s">
        <v>607</v>
      </c>
      <c r="C22" s="47" t="s">
        <v>608</v>
      </c>
      <c r="D22" s="47"/>
      <c r="E22" s="47">
        <v>603</v>
      </c>
      <c r="F22" s="47" t="s">
        <v>609</v>
      </c>
      <c r="G22" s="47" t="s">
        <v>491</v>
      </c>
      <c r="H22" s="47">
        <v>100</v>
      </c>
      <c r="I22" s="47" t="s">
        <v>610</v>
      </c>
      <c r="J22" s="47" t="s">
        <v>611</v>
      </c>
      <c r="K22" s="47"/>
      <c r="L22" s="47"/>
      <c r="M22" s="47"/>
    </row>
    <row r="23" spans="1:13" x14ac:dyDescent="0.2">
      <c r="A23" s="47" t="s">
        <v>612</v>
      </c>
      <c r="B23" s="47" t="s">
        <v>613</v>
      </c>
      <c r="C23" s="47" t="s">
        <v>608</v>
      </c>
      <c r="D23" s="47"/>
      <c r="E23" s="47">
        <v>603</v>
      </c>
      <c r="F23" s="47" t="s">
        <v>614</v>
      </c>
      <c r="G23" s="47" t="s">
        <v>491</v>
      </c>
      <c r="H23" s="47">
        <v>100</v>
      </c>
      <c r="I23" s="47" t="s">
        <v>497</v>
      </c>
      <c r="J23" s="47" t="s">
        <v>498</v>
      </c>
      <c r="K23" s="47"/>
      <c r="L23" s="47"/>
      <c r="M23" s="47"/>
    </row>
    <row r="24" spans="1:13" x14ac:dyDescent="0.2">
      <c r="A24" s="47" t="s">
        <v>615</v>
      </c>
      <c r="B24" s="47" t="s">
        <v>616</v>
      </c>
      <c r="C24" s="47" t="s">
        <v>521</v>
      </c>
      <c r="D24" s="47"/>
      <c r="E24" s="47" t="s">
        <v>3</v>
      </c>
      <c r="F24" s="47" t="s">
        <v>617</v>
      </c>
      <c r="G24" s="47" t="s">
        <v>491</v>
      </c>
      <c r="H24" s="47">
        <v>20</v>
      </c>
      <c r="I24" s="47" t="s">
        <v>618</v>
      </c>
      <c r="J24" s="47" t="s">
        <v>619</v>
      </c>
      <c r="K24" s="47"/>
      <c r="L24" s="47"/>
      <c r="M24" s="47"/>
    </row>
    <row r="25" spans="1:13" x14ac:dyDescent="0.2">
      <c r="A25" s="47" t="s">
        <v>620</v>
      </c>
      <c r="B25" s="47" t="s">
        <v>621</v>
      </c>
      <c r="C25" s="47" t="s">
        <v>53</v>
      </c>
      <c r="D25" s="47"/>
      <c r="E25" s="47">
        <v>402</v>
      </c>
      <c r="F25" s="47" t="s">
        <v>622</v>
      </c>
      <c r="G25" s="47" t="s">
        <v>491</v>
      </c>
      <c r="H25" s="47">
        <v>100</v>
      </c>
      <c r="I25" s="47" t="s">
        <v>517</v>
      </c>
      <c r="J25" s="47" t="s">
        <v>518</v>
      </c>
      <c r="K25" s="47"/>
      <c r="L25" s="47"/>
      <c r="M25" s="47"/>
    </row>
    <row r="26" spans="1:13" x14ac:dyDescent="0.2">
      <c r="A26" s="47" t="s">
        <v>623</v>
      </c>
      <c r="B26" s="47" t="s">
        <v>624</v>
      </c>
      <c r="C26" s="47" t="s">
        <v>4</v>
      </c>
      <c r="D26" s="47"/>
      <c r="E26" s="47">
        <v>603</v>
      </c>
      <c r="F26" s="47" t="s">
        <v>625</v>
      </c>
      <c r="G26" s="47" t="s">
        <v>491</v>
      </c>
      <c r="H26" s="47">
        <v>100</v>
      </c>
      <c r="I26" s="47" t="s">
        <v>626</v>
      </c>
      <c r="J26" s="47" t="s">
        <v>627</v>
      </c>
      <c r="K26" s="47"/>
      <c r="L26" s="47"/>
      <c r="M26" s="47"/>
    </row>
    <row r="27" spans="1:13" x14ac:dyDescent="0.2">
      <c r="A27" s="47" t="s">
        <v>628</v>
      </c>
      <c r="B27" s="47" t="s">
        <v>629</v>
      </c>
      <c r="C27" s="47" t="s">
        <v>546</v>
      </c>
      <c r="D27" s="47"/>
      <c r="E27" s="47">
        <v>603</v>
      </c>
      <c r="F27" s="47" t="s">
        <v>630</v>
      </c>
      <c r="G27" s="47" t="s">
        <v>491</v>
      </c>
      <c r="H27" s="47">
        <v>40</v>
      </c>
      <c r="I27" s="47" t="s">
        <v>631</v>
      </c>
      <c r="J27" s="47" t="s">
        <v>518</v>
      </c>
      <c r="K27" s="47"/>
      <c r="L27" s="47"/>
      <c r="M27" s="47"/>
    </row>
    <row r="28" spans="1:13" x14ac:dyDescent="0.2">
      <c r="A28" s="47" t="s">
        <v>632</v>
      </c>
      <c r="B28" s="47" t="s">
        <v>633</v>
      </c>
      <c r="C28" s="47" t="s">
        <v>579</v>
      </c>
      <c r="D28" s="47"/>
      <c r="E28" s="47" t="s">
        <v>30</v>
      </c>
      <c r="F28" s="47" t="s">
        <v>634</v>
      </c>
      <c r="G28" s="47" t="s">
        <v>491</v>
      </c>
      <c r="H28" s="47">
        <v>10</v>
      </c>
      <c r="I28" s="47" t="s">
        <v>635</v>
      </c>
      <c r="J28" s="47" t="s">
        <v>636</v>
      </c>
      <c r="K28" s="47"/>
      <c r="L28" s="47"/>
      <c r="M28" s="47"/>
    </row>
    <row r="29" spans="1:13" x14ac:dyDescent="0.2">
      <c r="A29" s="47" t="s">
        <v>637</v>
      </c>
      <c r="B29" s="47" t="s">
        <v>638</v>
      </c>
      <c r="C29" s="47" t="s">
        <v>377</v>
      </c>
      <c r="D29" s="47"/>
      <c r="E29" s="47">
        <v>402</v>
      </c>
      <c r="F29" s="47" t="s">
        <v>639</v>
      </c>
      <c r="G29" s="47" t="s">
        <v>491</v>
      </c>
      <c r="H29" s="47">
        <v>100</v>
      </c>
      <c r="I29" s="47" t="s">
        <v>640</v>
      </c>
      <c r="J29" s="47" t="s">
        <v>641</v>
      </c>
      <c r="K29" s="47"/>
      <c r="L29" s="47"/>
      <c r="M29" s="47"/>
    </row>
    <row r="30" spans="1:13" x14ac:dyDescent="0.2">
      <c r="A30" s="47" t="s">
        <v>642</v>
      </c>
      <c r="B30" s="47" t="s">
        <v>643</v>
      </c>
      <c r="C30" s="47" t="s">
        <v>4</v>
      </c>
      <c r="D30" s="47"/>
      <c r="E30" s="47">
        <v>402</v>
      </c>
      <c r="F30" s="47" t="s">
        <v>644</v>
      </c>
      <c r="G30" s="47" t="s">
        <v>491</v>
      </c>
      <c r="H30" s="47">
        <v>100</v>
      </c>
      <c r="I30" s="47" t="s">
        <v>645</v>
      </c>
      <c r="J30" s="47" t="s">
        <v>646</v>
      </c>
      <c r="K30" s="47"/>
      <c r="L30" s="47"/>
      <c r="M30" s="47"/>
    </row>
    <row r="31" spans="1:13" x14ac:dyDescent="0.2">
      <c r="A31" s="47" t="s">
        <v>647</v>
      </c>
      <c r="B31" s="47" t="s">
        <v>648</v>
      </c>
      <c r="C31" s="47" t="s">
        <v>4</v>
      </c>
      <c r="D31" s="47"/>
      <c r="E31" s="47">
        <v>402</v>
      </c>
      <c r="F31" s="47" t="s">
        <v>649</v>
      </c>
      <c r="G31" s="47" t="s">
        <v>491</v>
      </c>
      <c r="H31" s="47">
        <v>100</v>
      </c>
      <c r="I31" s="47" t="s">
        <v>650</v>
      </c>
      <c r="J31" s="47" t="s">
        <v>651</v>
      </c>
      <c r="K31" s="47"/>
      <c r="L31" s="47"/>
      <c r="M31" s="47"/>
    </row>
    <row r="32" spans="1:13" x14ac:dyDescent="0.2">
      <c r="A32" s="47" t="s">
        <v>355</v>
      </c>
      <c r="B32" s="47" t="s">
        <v>357</v>
      </c>
      <c r="C32" s="47" t="s">
        <v>4</v>
      </c>
      <c r="D32" s="47"/>
      <c r="E32" s="47">
        <v>402</v>
      </c>
      <c r="F32" s="47" t="s">
        <v>652</v>
      </c>
      <c r="G32" s="47" t="s">
        <v>491</v>
      </c>
      <c r="H32" s="47">
        <v>100</v>
      </c>
      <c r="I32" s="47" t="s">
        <v>653</v>
      </c>
      <c r="J32" s="47" t="s">
        <v>654</v>
      </c>
      <c r="K32" s="47"/>
      <c r="L32" s="47"/>
      <c r="M32" s="47"/>
    </row>
    <row r="33" spans="1:13" x14ac:dyDescent="0.2">
      <c r="A33" s="47" t="s">
        <v>293</v>
      </c>
      <c r="B33" s="47" t="s">
        <v>291</v>
      </c>
      <c r="C33" s="47" t="s">
        <v>413</v>
      </c>
      <c r="D33" s="47"/>
      <c r="E33" s="47" t="s">
        <v>655</v>
      </c>
      <c r="F33" s="47" t="s">
        <v>656</v>
      </c>
      <c r="G33" s="47" t="s">
        <v>491</v>
      </c>
      <c r="H33" s="47">
        <v>10</v>
      </c>
      <c r="I33" s="47" t="s">
        <v>657</v>
      </c>
      <c r="J33" s="47" t="s">
        <v>658</v>
      </c>
      <c r="K33" s="47"/>
      <c r="L33" s="47"/>
      <c r="M33" s="47"/>
    </row>
    <row r="34" spans="1:13" x14ac:dyDescent="0.2">
      <c r="A34" s="47" t="s">
        <v>29</v>
      </c>
      <c r="B34" s="47" t="s">
        <v>28</v>
      </c>
      <c r="C34" s="47" t="s">
        <v>31</v>
      </c>
      <c r="D34" s="47"/>
      <c r="E34" s="47" t="s">
        <v>30</v>
      </c>
      <c r="F34" s="47" t="s">
        <v>659</v>
      </c>
      <c r="G34" s="47" t="s">
        <v>491</v>
      </c>
      <c r="H34" s="47">
        <v>10</v>
      </c>
      <c r="I34" s="47" t="s">
        <v>660</v>
      </c>
      <c r="J34" s="47" t="s">
        <v>661</v>
      </c>
      <c r="K34" s="47"/>
      <c r="L34" s="47"/>
      <c r="M34" s="47"/>
    </row>
    <row r="35" spans="1:13" x14ac:dyDescent="0.2">
      <c r="A35" s="47" t="s">
        <v>434</v>
      </c>
      <c r="B35" s="47" t="s">
        <v>436</v>
      </c>
      <c r="C35" s="47" t="s">
        <v>435</v>
      </c>
      <c r="D35" s="47"/>
      <c r="E35" s="47">
        <v>402</v>
      </c>
      <c r="F35" s="47" t="s">
        <v>662</v>
      </c>
      <c r="G35" s="47" t="s">
        <v>491</v>
      </c>
      <c r="H35" s="47">
        <v>100</v>
      </c>
      <c r="I35" s="47" t="s">
        <v>645</v>
      </c>
      <c r="J35" s="47" t="s">
        <v>646</v>
      </c>
      <c r="K35" s="47"/>
      <c r="L35" s="47"/>
      <c r="M35" s="47"/>
    </row>
    <row r="36" spans="1:13" x14ac:dyDescent="0.2">
      <c r="A36" s="47" t="s">
        <v>663</v>
      </c>
      <c r="B36" s="47" t="s">
        <v>664</v>
      </c>
      <c r="C36" s="47" t="s">
        <v>377</v>
      </c>
      <c r="D36" s="47"/>
      <c r="E36" s="47">
        <v>603</v>
      </c>
      <c r="F36" s="47" t="s">
        <v>665</v>
      </c>
      <c r="G36" s="47" t="s">
        <v>491</v>
      </c>
      <c r="H36" s="47">
        <v>100</v>
      </c>
      <c r="I36" s="47" t="s">
        <v>666</v>
      </c>
      <c r="J36" s="47" t="s">
        <v>667</v>
      </c>
      <c r="K36" s="47"/>
      <c r="L36" s="47"/>
      <c r="M36" s="47"/>
    </row>
    <row r="37" spans="1:13" x14ac:dyDescent="0.2">
      <c r="A37" s="47" t="s">
        <v>668</v>
      </c>
      <c r="B37" s="47" t="s">
        <v>669</v>
      </c>
      <c r="C37" s="47" t="s">
        <v>670</v>
      </c>
      <c r="D37" s="47"/>
      <c r="E37" s="47">
        <v>402</v>
      </c>
      <c r="F37" s="47" t="s">
        <v>671</v>
      </c>
      <c r="G37" s="47" t="s">
        <v>491</v>
      </c>
      <c r="H37" s="47">
        <v>100</v>
      </c>
      <c r="I37" s="47" t="s">
        <v>672</v>
      </c>
      <c r="J37" s="47" t="s">
        <v>673</v>
      </c>
      <c r="K37" s="47"/>
      <c r="L37" s="47"/>
      <c r="M37" s="47"/>
    </row>
    <row r="38" spans="1:13" x14ac:dyDescent="0.2">
      <c r="A38" s="47" t="s">
        <v>674</v>
      </c>
      <c r="B38" s="47" t="s">
        <v>23</v>
      </c>
      <c r="C38" s="47" t="s">
        <v>675</v>
      </c>
      <c r="D38" s="47"/>
      <c r="E38" s="47" t="s">
        <v>21</v>
      </c>
      <c r="F38" s="47" t="s">
        <v>676</v>
      </c>
      <c r="G38" s="47" t="s">
        <v>491</v>
      </c>
      <c r="H38" s="47">
        <v>10</v>
      </c>
      <c r="I38" s="47" t="s">
        <v>677</v>
      </c>
      <c r="J38" s="47" t="s">
        <v>678</v>
      </c>
      <c r="K38" s="47"/>
      <c r="L38" s="47"/>
      <c r="M38" s="47"/>
    </row>
    <row r="39" spans="1:13" x14ac:dyDescent="0.2">
      <c r="A39" s="47" t="s">
        <v>679</v>
      </c>
      <c r="B39" s="47" t="s">
        <v>680</v>
      </c>
      <c r="C39" s="47" t="s">
        <v>681</v>
      </c>
      <c r="D39" s="47"/>
      <c r="E39" s="47" t="s">
        <v>682</v>
      </c>
      <c r="F39" s="47" t="s">
        <v>683</v>
      </c>
      <c r="G39" s="47" t="s">
        <v>491</v>
      </c>
      <c r="H39" s="47">
        <v>5</v>
      </c>
      <c r="I39" s="47" t="s">
        <v>684</v>
      </c>
      <c r="J39" s="47" t="s">
        <v>685</v>
      </c>
      <c r="K39" s="47"/>
      <c r="L39" s="47"/>
      <c r="M39" s="47"/>
    </row>
    <row r="40" spans="1:13" x14ac:dyDescent="0.2">
      <c r="A40" s="47" t="s">
        <v>686</v>
      </c>
      <c r="B40" s="47" t="s">
        <v>687</v>
      </c>
      <c r="C40" s="47" t="s">
        <v>688</v>
      </c>
      <c r="D40" s="47"/>
      <c r="E40" s="47" t="s">
        <v>689</v>
      </c>
      <c r="F40" s="47" t="s">
        <v>690</v>
      </c>
      <c r="G40" s="47" t="s">
        <v>491</v>
      </c>
      <c r="H40" s="47">
        <v>10</v>
      </c>
      <c r="I40" s="47" t="s">
        <v>691</v>
      </c>
      <c r="J40" s="47" t="s">
        <v>692</v>
      </c>
      <c r="K40" s="47"/>
      <c r="L40" s="47"/>
      <c r="M40" s="47"/>
    </row>
    <row r="41" spans="1:13" x14ac:dyDescent="0.2">
      <c r="A41" s="47" t="s">
        <v>693</v>
      </c>
      <c r="B41" s="47" t="s">
        <v>694</v>
      </c>
      <c r="C41" s="47" t="s">
        <v>5</v>
      </c>
      <c r="D41" s="47"/>
      <c r="E41" s="47" t="s">
        <v>695</v>
      </c>
      <c r="F41" s="47" t="s">
        <v>696</v>
      </c>
      <c r="G41" s="47" t="s">
        <v>491</v>
      </c>
      <c r="H41" s="47">
        <v>5</v>
      </c>
      <c r="I41" s="48">
        <v>35962</v>
      </c>
      <c r="J41" s="47" t="s">
        <v>697</v>
      </c>
      <c r="K41" s="47"/>
      <c r="L41" s="47"/>
      <c r="M41" s="47"/>
    </row>
    <row r="42" spans="1:13" x14ac:dyDescent="0.2">
      <c r="A42" s="47" t="s">
        <v>351</v>
      </c>
      <c r="B42" s="47" t="s">
        <v>348</v>
      </c>
      <c r="C42" s="47" t="s">
        <v>352</v>
      </c>
      <c r="D42" s="47"/>
      <c r="E42" s="47">
        <v>1206</v>
      </c>
      <c r="F42" s="47" t="s">
        <v>698</v>
      </c>
      <c r="G42" s="47" t="s">
        <v>491</v>
      </c>
      <c r="H42" s="47">
        <v>10</v>
      </c>
      <c r="I42" s="47" t="s">
        <v>699</v>
      </c>
      <c r="J42" s="47" t="s">
        <v>549</v>
      </c>
      <c r="K42" s="47"/>
      <c r="L42" s="47"/>
      <c r="M42" s="47"/>
    </row>
    <row r="43" spans="1:13" x14ac:dyDescent="0.2">
      <c r="A43" s="47" t="s">
        <v>316</v>
      </c>
      <c r="B43" s="47" t="s">
        <v>49</v>
      </c>
      <c r="C43" s="47" t="s">
        <v>268</v>
      </c>
      <c r="D43" s="47"/>
      <c r="E43" s="47" t="s">
        <v>602</v>
      </c>
      <c r="F43" s="47" t="s">
        <v>603</v>
      </c>
      <c r="G43" s="47" t="s">
        <v>491</v>
      </c>
      <c r="H43" s="47">
        <v>40</v>
      </c>
      <c r="I43" s="47" t="s">
        <v>700</v>
      </c>
      <c r="J43" s="47" t="s">
        <v>701</v>
      </c>
      <c r="K43" s="47"/>
      <c r="L43" s="47"/>
      <c r="M43" s="47"/>
    </row>
    <row r="44" spans="1:13" x14ac:dyDescent="0.2">
      <c r="A44" s="47" t="s">
        <v>376</v>
      </c>
      <c r="B44" s="47" t="s">
        <v>378</v>
      </c>
      <c r="C44" s="47" t="s">
        <v>435</v>
      </c>
      <c r="D44" s="47"/>
      <c r="E44" s="47">
        <v>402</v>
      </c>
      <c r="F44" s="47" t="s">
        <v>702</v>
      </c>
      <c r="G44" s="47" t="s">
        <v>491</v>
      </c>
      <c r="H44" s="47">
        <v>30</v>
      </c>
      <c r="I44" s="47" t="s">
        <v>703</v>
      </c>
      <c r="J44" s="47" t="s">
        <v>704</v>
      </c>
      <c r="K44" s="47"/>
      <c r="L44" s="47"/>
      <c r="M44" s="47"/>
    </row>
    <row r="45" spans="1:13" x14ac:dyDescent="0.2">
      <c r="A45" s="47" t="s">
        <v>705</v>
      </c>
      <c r="B45" s="47" t="s">
        <v>706</v>
      </c>
      <c r="C45" s="47" t="s">
        <v>707</v>
      </c>
      <c r="D45" s="47"/>
      <c r="E45" s="47" t="s">
        <v>39</v>
      </c>
      <c r="F45" s="47" t="s">
        <v>39</v>
      </c>
      <c r="G45" s="47" t="s">
        <v>39</v>
      </c>
      <c r="H45" s="47">
        <v>50</v>
      </c>
      <c r="I45" s="47" t="s">
        <v>708</v>
      </c>
      <c r="J45" s="47" t="s">
        <v>709</v>
      </c>
      <c r="K45" s="47"/>
      <c r="L45" s="47"/>
      <c r="M45" s="47"/>
    </row>
    <row r="46" spans="1:13" x14ac:dyDescent="0.2">
      <c r="A46" s="47" t="s">
        <v>429</v>
      </c>
      <c r="B46" s="47" t="s">
        <v>430</v>
      </c>
      <c r="C46" s="47" t="s">
        <v>710</v>
      </c>
      <c r="D46" s="47"/>
      <c r="E46" s="47">
        <v>402</v>
      </c>
      <c r="F46" s="47" t="s">
        <v>711</v>
      </c>
      <c r="G46" s="47" t="s">
        <v>491</v>
      </c>
      <c r="H46" s="47">
        <v>100</v>
      </c>
      <c r="I46" s="47" t="s">
        <v>712</v>
      </c>
      <c r="J46" s="47" t="s">
        <v>713</v>
      </c>
      <c r="K46" s="47"/>
      <c r="L46" s="47"/>
      <c r="M46" s="47"/>
    </row>
    <row r="47" spans="1:13" x14ac:dyDescent="0.2">
      <c r="A47" s="47" t="s">
        <v>343</v>
      </c>
      <c r="B47" s="47" t="s">
        <v>345</v>
      </c>
      <c r="C47" s="47" t="s">
        <v>710</v>
      </c>
      <c r="D47" s="47"/>
      <c r="E47" s="47" t="s">
        <v>714</v>
      </c>
      <c r="F47" s="47" t="s">
        <v>715</v>
      </c>
      <c r="G47" s="47" t="s">
        <v>491</v>
      </c>
      <c r="H47" s="47">
        <v>20</v>
      </c>
      <c r="I47" s="47" t="s">
        <v>716</v>
      </c>
      <c r="J47" s="47" t="s">
        <v>717</v>
      </c>
      <c r="K47" s="47"/>
      <c r="L47" s="47"/>
      <c r="M47" s="47"/>
    </row>
    <row r="48" spans="1:13" x14ac:dyDescent="0.2">
      <c r="A48" s="47" t="s">
        <v>443</v>
      </c>
      <c r="B48" s="47" t="s">
        <v>444</v>
      </c>
      <c r="C48" s="47" t="s">
        <v>4</v>
      </c>
      <c r="D48" s="47"/>
      <c r="E48" s="47">
        <v>402</v>
      </c>
      <c r="F48" s="47" t="s">
        <v>718</v>
      </c>
      <c r="G48" s="47" t="s">
        <v>491</v>
      </c>
      <c r="H48" s="47">
        <v>20</v>
      </c>
      <c r="I48" s="47" t="s">
        <v>719</v>
      </c>
      <c r="J48" s="47" t="s">
        <v>720</v>
      </c>
      <c r="K48" s="47"/>
      <c r="L48" s="47"/>
      <c r="M48" s="47"/>
    </row>
    <row r="49" spans="1:13" x14ac:dyDescent="0.2">
      <c r="A49" s="47" t="s">
        <v>370</v>
      </c>
      <c r="B49" s="47" t="s">
        <v>371</v>
      </c>
      <c r="C49" s="47" t="s">
        <v>65</v>
      </c>
      <c r="D49" s="47"/>
      <c r="E49" s="47">
        <v>402</v>
      </c>
      <c r="F49" s="47" t="s">
        <v>721</v>
      </c>
      <c r="G49" s="47" t="s">
        <v>491</v>
      </c>
      <c r="H49" s="47">
        <v>100</v>
      </c>
      <c r="I49" s="47" t="s">
        <v>722</v>
      </c>
      <c r="J49" s="47" t="s">
        <v>723</v>
      </c>
      <c r="K49" s="47"/>
      <c r="L49" s="47"/>
      <c r="M49" s="47"/>
    </row>
    <row r="50" spans="1:13" x14ac:dyDescent="0.2">
      <c r="A50" s="47" t="s">
        <v>724</v>
      </c>
      <c r="B50" s="47" t="s">
        <v>725</v>
      </c>
      <c r="C50" s="47" t="s">
        <v>356</v>
      </c>
      <c r="D50" s="47"/>
      <c r="E50" s="47" t="s">
        <v>726</v>
      </c>
      <c r="F50" s="47" t="s">
        <v>727</v>
      </c>
      <c r="G50" s="47" t="s">
        <v>491</v>
      </c>
      <c r="H50" s="47">
        <v>5</v>
      </c>
      <c r="I50" s="47" t="s">
        <v>728</v>
      </c>
      <c r="J50" s="47" t="s">
        <v>729</v>
      </c>
      <c r="K50" s="47"/>
      <c r="L50" s="47"/>
      <c r="M50" s="47"/>
    </row>
    <row r="51" spans="1:13" x14ac:dyDescent="0.2">
      <c r="A51" s="47" t="s">
        <v>730</v>
      </c>
      <c r="B51" s="47" t="s">
        <v>731</v>
      </c>
      <c r="C51" s="47" t="s">
        <v>675</v>
      </c>
      <c r="D51" s="47"/>
      <c r="E51" s="47" t="s">
        <v>732</v>
      </c>
      <c r="F51" s="47" t="s">
        <v>733</v>
      </c>
      <c r="G51" s="47" t="s">
        <v>491</v>
      </c>
      <c r="H51" s="47">
        <v>10</v>
      </c>
      <c r="I51" s="47" t="s">
        <v>734</v>
      </c>
      <c r="J51" s="47" t="s">
        <v>735</v>
      </c>
      <c r="K51" s="47"/>
      <c r="L51" s="47"/>
      <c r="M51" s="47"/>
    </row>
    <row r="52" spans="1:13" x14ac:dyDescent="0.2">
      <c r="A52" s="47" t="s">
        <v>736</v>
      </c>
      <c r="B52" s="47" t="s">
        <v>737</v>
      </c>
      <c r="C52" s="47" t="s">
        <v>31</v>
      </c>
      <c r="D52" s="47"/>
      <c r="E52" s="47" t="s">
        <v>738</v>
      </c>
      <c r="F52" s="47" t="s">
        <v>739</v>
      </c>
      <c r="G52" s="47" t="s">
        <v>491</v>
      </c>
      <c r="H52" s="47">
        <v>5</v>
      </c>
      <c r="I52" s="47" t="s">
        <v>740</v>
      </c>
      <c r="J52" s="47" t="s">
        <v>741</v>
      </c>
      <c r="K52" s="47"/>
      <c r="L52" s="47"/>
      <c r="M52" s="47"/>
    </row>
    <row r="53" spans="1:13" x14ac:dyDescent="0.2">
      <c r="A53" s="47" t="s">
        <v>742</v>
      </c>
      <c r="B53" s="47" t="s">
        <v>743</v>
      </c>
      <c r="C53" s="47" t="s">
        <v>744</v>
      </c>
      <c r="D53" s="47"/>
      <c r="E53" s="47" t="s">
        <v>745</v>
      </c>
      <c r="F53" s="47" t="s">
        <v>746</v>
      </c>
      <c r="G53" s="47" t="s">
        <v>491</v>
      </c>
      <c r="H53" s="47">
        <v>5</v>
      </c>
      <c r="I53" s="47" t="s">
        <v>747</v>
      </c>
      <c r="J53" s="47" t="s">
        <v>748</v>
      </c>
      <c r="K53" s="47"/>
      <c r="L53" s="47"/>
      <c r="M53" s="47"/>
    </row>
    <row r="54" spans="1:13" x14ac:dyDescent="0.2">
      <c r="A54" s="47" t="s">
        <v>749</v>
      </c>
      <c r="B54" s="47" t="s">
        <v>750</v>
      </c>
      <c r="C54" s="47" t="s">
        <v>53</v>
      </c>
      <c r="D54" s="47"/>
      <c r="E54" s="47">
        <v>805</v>
      </c>
      <c r="F54" s="47" t="s">
        <v>751</v>
      </c>
      <c r="G54" s="47" t="s">
        <v>491</v>
      </c>
      <c r="H54" s="47">
        <v>50</v>
      </c>
      <c r="I54" s="47" t="s">
        <v>752</v>
      </c>
      <c r="J54" s="47" t="s">
        <v>530</v>
      </c>
      <c r="K54" s="47"/>
      <c r="L54" s="47"/>
      <c r="M54" s="47"/>
    </row>
    <row r="55" spans="1:13" x14ac:dyDescent="0.2">
      <c r="A55" s="47" t="s">
        <v>753</v>
      </c>
      <c r="B55" s="47" t="s">
        <v>754</v>
      </c>
      <c r="C55" s="47" t="s">
        <v>352</v>
      </c>
      <c r="D55" s="47"/>
      <c r="E55" s="47" t="s">
        <v>508</v>
      </c>
      <c r="F55" s="47" t="s">
        <v>755</v>
      </c>
      <c r="G55" s="47" t="s">
        <v>491</v>
      </c>
      <c r="H55" s="47">
        <v>5</v>
      </c>
      <c r="I55" s="47" t="s">
        <v>756</v>
      </c>
      <c r="J55" s="47" t="s">
        <v>757</v>
      </c>
      <c r="K55" s="47"/>
      <c r="L55" s="47"/>
      <c r="M55" s="47"/>
    </row>
    <row r="56" spans="1:13" x14ac:dyDescent="0.2">
      <c r="A56" s="47" t="s">
        <v>758</v>
      </c>
      <c r="B56" s="47" t="s">
        <v>759</v>
      </c>
      <c r="C56" s="47" t="s">
        <v>31</v>
      </c>
      <c r="D56" s="47"/>
      <c r="E56" s="47" t="s">
        <v>760</v>
      </c>
      <c r="F56" s="47" t="s">
        <v>761</v>
      </c>
      <c r="G56" s="47" t="s">
        <v>491</v>
      </c>
      <c r="H56" s="47">
        <v>5</v>
      </c>
      <c r="I56" s="48">
        <v>10388</v>
      </c>
      <c r="J56" s="47" t="s">
        <v>762</v>
      </c>
      <c r="K56" s="47"/>
      <c r="L56" s="47"/>
      <c r="M56" s="47"/>
    </row>
    <row r="57" spans="1:13" x14ac:dyDescent="0.2">
      <c r="A57" s="47" t="s">
        <v>763</v>
      </c>
      <c r="B57" s="47" t="s">
        <v>764</v>
      </c>
      <c r="C57" s="47" t="s">
        <v>765</v>
      </c>
      <c r="D57" s="47"/>
      <c r="E57" s="47" t="s">
        <v>766</v>
      </c>
      <c r="F57" s="47" t="s">
        <v>767</v>
      </c>
      <c r="G57" s="47" t="s">
        <v>491</v>
      </c>
      <c r="H57" s="47">
        <v>5</v>
      </c>
      <c r="I57" s="47" t="s">
        <v>768</v>
      </c>
      <c r="J57" s="47" t="s">
        <v>769</v>
      </c>
      <c r="K57" s="47"/>
      <c r="L57" s="47"/>
      <c r="M57" s="47"/>
    </row>
    <row r="58" spans="1:13" x14ac:dyDescent="0.2">
      <c r="A58" s="47" t="s">
        <v>770</v>
      </c>
      <c r="B58" s="47" t="s">
        <v>771</v>
      </c>
      <c r="C58" s="47" t="s">
        <v>765</v>
      </c>
      <c r="D58" s="47"/>
      <c r="E58" s="47" t="s">
        <v>766</v>
      </c>
      <c r="F58" s="47" t="s">
        <v>767</v>
      </c>
      <c r="G58" s="47" t="s">
        <v>491</v>
      </c>
      <c r="H58" s="47">
        <v>20</v>
      </c>
      <c r="I58" s="47" t="s">
        <v>772</v>
      </c>
      <c r="J58" s="47" t="s">
        <v>773</v>
      </c>
      <c r="K58" s="47"/>
      <c r="L58" s="47"/>
      <c r="M58" s="47"/>
    </row>
    <row r="59" spans="1:13" x14ac:dyDescent="0.2">
      <c r="A59" s="47" t="s">
        <v>343</v>
      </c>
      <c r="B59" s="47" t="s">
        <v>345</v>
      </c>
      <c r="C59" s="47" t="s">
        <v>710</v>
      </c>
      <c r="D59" s="47"/>
      <c r="E59" s="47" t="s">
        <v>714</v>
      </c>
      <c r="F59" s="47" t="s">
        <v>715</v>
      </c>
      <c r="G59" s="47" t="s">
        <v>491</v>
      </c>
      <c r="H59" s="47">
        <v>30</v>
      </c>
      <c r="I59" s="47" t="s">
        <v>774</v>
      </c>
      <c r="J59" s="47" t="s">
        <v>775</v>
      </c>
      <c r="K59" s="47"/>
      <c r="L59" s="47"/>
      <c r="M59" s="47"/>
    </row>
    <row r="60" spans="1:13" x14ac:dyDescent="0.2">
      <c r="A60" s="47" t="s">
        <v>674</v>
      </c>
      <c r="B60" s="47" t="s">
        <v>23</v>
      </c>
      <c r="C60" s="47" t="s">
        <v>675</v>
      </c>
      <c r="D60" s="47"/>
      <c r="E60" s="47" t="s">
        <v>21</v>
      </c>
      <c r="F60" s="47" t="s">
        <v>676</v>
      </c>
      <c r="G60" s="47" t="s">
        <v>491</v>
      </c>
      <c r="H60" s="47">
        <v>10</v>
      </c>
      <c r="I60" s="47" t="s">
        <v>776</v>
      </c>
      <c r="J60" s="47" t="s">
        <v>777</v>
      </c>
      <c r="K60" s="47"/>
      <c r="L60" s="47"/>
      <c r="M60" s="47"/>
    </row>
    <row r="61" spans="1:13" x14ac:dyDescent="0.2">
      <c r="A61" s="47" t="s">
        <v>778</v>
      </c>
      <c r="B61" s="47" t="s">
        <v>779</v>
      </c>
      <c r="C61" s="47" t="s">
        <v>780</v>
      </c>
      <c r="D61" s="47"/>
      <c r="E61" s="47" t="s">
        <v>21</v>
      </c>
      <c r="F61" s="47" t="s">
        <v>781</v>
      </c>
      <c r="G61" s="47" t="s">
        <v>491</v>
      </c>
      <c r="H61" s="47">
        <v>3</v>
      </c>
      <c r="I61" s="47" t="s">
        <v>782</v>
      </c>
      <c r="J61" s="47" t="s">
        <v>783</v>
      </c>
      <c r="K61" s="47"/>
      <c r="L61" s="47"/>
      <c r="M61" s="47"/>
    </row>
    <row r="62" spans="1:13" x14ac:dyDescent="0.2">
      <c r="A62" s="47" t="s">
        <v>784</v>
      </c>
      <c r="B62" s="47" t="s">
        <v>785</v>
      </c>
      <c r="C62" s="47" t="s">
        <v>786</v>
      </c>
      <c r="D62" s="47"/>
      <c r="E62" s="47" t="s">
        <v>787</v>
      </c>
      <c r="F62" s="47" t="s">
        <v>788</v>
      </c>
      <c r="G62" s="47" t="s">
        <v>491</v>
      </c>
      <c r="H62" s="47">
        <v>5</v>
      </c>
      <c r="I62" s="47" t="s">
        <v>789</v>
      </c>
      <c r="J62" s="47" t="s">
        <v>790</v>
      </c>
      <c r="K62" s="47"/>
      <c r="L62" s="47"/>
      <c r="M62" s="47"/>
    </row>
    <row r="63" spans="1:13" x14ac:dyDescent="0.2">
      <c r="A63" s="47" t="s">
        <v>791</v>
      </c>
      <c r="B63" s="47" t="s">
        <v>792</v>
      </c>
      <c r="C63" s="47" t="s">
        <v>793</v>
      </c>
      <c r="D63" s="47"/>
      <c r="E63" s="47" t="s">
        <v>3</v>
      </c>
      <c r="F63" s="47" t="s">
        <v>794</v>
      </c>
      <c r="G63" s="47" t="s">
        <v>491</v>
      </c>
      <c r="H63" s="47">
        <v>10</v>
      </c>
      <c r="I63" s="47" t="s">
        <v>795</v>
      </c>
      <c r="J63" s="47" t="s">
        <v>661</v>
      </c>
      <c r="K63" s="47"/>
      <c r="L63" s="47"/>
      <c r="M63" s="47"/>
    </row>
    <row r="64" spans="1:13" x14ac:dyDescent="0.2">
      <c r="A64" s="47" t="s">
        <v>796</v>
      </c>
      <c r="B64" s="47" t="s">
        <v>797</v>
      </c>
      <c r="C64" s="47" t="s">
        <v>793</v>
      </c>
      <c r="D64" s="47"/>
      <c r="E64" s="47" t="s">
        <v>3</v>
      </c>
      <c r="F64" s="47" t="s">
        <v>798</v>
      </c>
      <c r="G64" s="47" t="s">
        <v>491</v>
      </c>
      <c r="H64" s="47">
        <v>20</v>
      </c>
      <c r="I64" s="47" t="s">
        <v>799</v>
      </c>
      <c r="J64" s="47" t="s">
        <v>800</v>
      </c>
      <c r="K64" s="47"/>
      <c r="L64" s="47"/>
      <c r="M64" s="47"/>
    </row>
    <row r="65" spans="1:13" x14ac:dyDescent="0.2">
      <c r="A65" s="47" t="s">
        <v>316</v>
      </c>
      <c r="B65" s="47" t="s">
        <v>49</v>
      </c>
      <c r="C65" s="47" t="s">
        <v>268</v>
      </c>
      <c r="D65" s="47"/>
      <c r="E65" s="47" t="s">
        <v>602</v>
      </c>
      <c r="F65" s="47" t="s">
        <v>603</v>
      </c>
      <c r="G65" s="47" t="s">
        <v>491</v>
      </c>
      <c r="H65" s="47">
        <v>50</v>
      </c>
      <c r="I65" s="47" t="s">
        <v>801</v>
      </c>
      <c r="J65" s="47" t="s">
        <v>802</v>
      </c>
      <c r="K65" s="47"/>
      <c r="L65" s="47"/>
      <c r="M65" s="47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Parameters</vt:lpstr>
      <vt:lpstr>Final Parameters</vt:lpstr>
      <vt:lpstr>Power</vt:lpstr>
      <vt:lpstr>Sheet1</vt:lpstr>
      <vt:lpstr>Pricelist</vt:lpstr>
      <vt:lpstr>BOM</vt:lpstr>
      <vt:lpstr>Inventory</vt:lpstr>
      <vt:lpstr>BOM!BodyTempSensor</vt:lpstr>
      <vt:lpstr>Inventory!LCSC__WM2212110099_20260617034224</vt:lpstr>
      <vt:lpstr>Inventory!LCSC__WM2407090249_20260617034145</vt:lpstr>
      <vt:lpstr>Inventory!LCSC__WM2509140097_20260617034302_1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Daan Heetkamp</dc:creator>
  <cp:lastModifiedBy>Daan Heetkamp | Eemland Schoentechniek</cp:lastModifiedBy>
  <dcterms:created xsi:type="dcterms:W3CDTF">2015-06-05T18:17:20Z</dcterms:created>
  <dcterms:modified xsi:type="dcterms:W3CDTF">2026-06-22T18:16:16Z</dcterms:modified>
</cp:coreProperties>
</file>